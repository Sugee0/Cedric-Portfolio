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edWEB\WEB\Midterm Task\"/>
    </mc:Choice>
  </mc:AlternateContent>
  <xr:revisionPtr revIDLastSave="0" documentId="13_ncr:1_{FF01FAB2-989F-4730-85D8-E344697F155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Detail1" sheetId="3" r:id="rId1"/>
    <sheet name="Pivot Table" sheetId="2" r:id="rId2"/>
    <sheet name="Bike Sales" sheetId="1" r:id="rId3"/>
  </sheets>
  <calcPr calcId="191028"/>
  <pivotCaches>
    <pivotCache cacheId="5" r:id="rId4"/>
  </pivotCaches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<sst xmlns="http://schemas.openxmlformats.org/spreadsheetml/2006/main" count="1123" uniqueCount="163">
  <si>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</si>
  <si>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</si>
  <si>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</si>
  <si>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</si>
  <si>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</si>
  <si>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</si>
  <si>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</si>
  <si>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</si>
  <si>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</si>
  <si>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</si>
  <si>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</si>
  <si>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</si>
  <si>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</si>
  <si>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</si>
  <si>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</si>
  <si>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</si>
  <si>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</si>
  <si>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</si>
  <si>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</si>
  <si>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</si>
  <si>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</si>
  <si>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</si>
  <si>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</si>
  <si>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</si>
  <si>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</si>
  <si>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</si>
  <si>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</si>
  <si>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</si>
  <si>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</si>
  <si>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</si>
  <si>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</si>
  <si>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</si>
  <si>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</si>
  <si>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</si>
  <si>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</si>
  <si>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</si>
  <si>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</si>
  <si>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</si>
  <si>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</si>
  <si>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</si>
  <si>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</si>
  <si>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</si>
  <si>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</si>
  <si>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</si>
  <si>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</si>
  <si>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</si>
  <si>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</si>
  <si>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</si>
  <si>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</si>
  <si>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</si>
  <si>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</si>
  <si>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</si>
  <si>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</si>
  <si>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</si>
  <si>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</si>
  <si>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</si>
  <si>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</si>
  <si>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</si>
  <si>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</si>
  <si>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</si>
  <si>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</si>
  <si>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</si>
  <si>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</si>
  <si>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</si>
  <si>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</si>
  <si>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</si>
  <si>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</si>
  <si>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</si>
  <si>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</si>
  <si>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</si>
  <si>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</si>
  <si>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</si>
  <si>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</si>
  <si>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</si>
  <si>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</si>
  <si>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</si>
  <si>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</si>
  <si>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</si>
  <si>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</si>
  <si>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</si>
  <si>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</si>
  <si>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</si>
  <si>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</si>
  <si>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</si>
  <si>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</si>
  <si>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</si>
  <si>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</si>
  <si>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</si>
  <si>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</si>
  <si>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</si>
  <si>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</si>
  <si>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</si>
  <si>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</si>
  <si>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</si>
  <si>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</si>
  <si>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</si>
  <si>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</si>
  <si>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</si>
  <si>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</si>
  <si>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</si>
  <si>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</si>
  <si>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</si>
  <si>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</si>
  <si>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</si>
  <si>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</si>
  <si>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</si>
  <si>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</si>
  <si>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</si>
  <si>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</si>
  <si>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</si>
  <si>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</si>
  <si>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</si>
  <si>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</si>
  <si>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</si>
  <si>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</si>
  <si>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</si>
  <si>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</si>
  <si>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</si>
  <si>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</si>
  <si>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</si>
  <si>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</si>
  <si>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</si>
  <si>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</si>
  <si>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</si>
  <si>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</si>
  <si>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</si>
  <si>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</si>
  <si>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</si>
  <si>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</si>
  <si>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</si>
  <si>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</si>
  <si>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</si>
  <si>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</si>
  <si>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</si>
  <si>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</si>
  <si>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</si>
  <si>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</si>
  <si>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</si>
  <si>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</si>
  <si>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</si>
  <si>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</si>
  <si>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</si>
  <si>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</si>
  <si>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</si>
  <si>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</si>
  <si>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</si>
  <si>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</si>
  <si>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</si>
  <si>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</si>
  <si>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</si>
  <si>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</si>
  <si>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</si>
  <si>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</si>
  <si>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</si>
  <si>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</si>
  <si>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</si>
  <si>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</si>
  <si>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</si>
  <si>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Row Labels</t>
  </si>
  <si>
    <t>Grand Total</t>
  </si>
  <si>
    <t>Sum of Order_Quantity</t>
  </si>
  <si>
    <t>Column Labels</t>
  </si>
  <si>
    <t>Details for Sum of Order_Quantity - Country: 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</si>
</sst>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1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[Bike_Sales_Pivot_Lab_Pivot_table.xlsx]Pivot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Summary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Table'!$A$5:$A$14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Table'!$B$5:$B$14</c:f>
              <c:numCache>
                <c:formatCode>General</c:formatCode>
                <c:ptCount val="6"/>
                <c:pt idx="0">
                  <c:v>9</c:v>
                </c:pt>
                <c:pt idx="1">
                  <c:v>2</c:v>
                </c:pt>
                <c:pt idx="2">
                  <c:v>17</c:v>
                </c:pt>
                <c:pt idx="3">
                  <c:v>3</c:v>
                </c:pt>
                <c:pt idx="4">
                  <c:v>17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D-459E-A971-D1E70D1B45AF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'Pivot Table'!$A$5:$A$14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Table'!$C$5:$C$14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6D-459E-A971-D1E70D1B45AF}"/>
            </c:ext>
          </c:extLst>
        </c:ser>
        <c:ser>
          <c:idx val="2"/>
          <c:order val="2"/>
          <c:tx>
            <c:strRef>
              <c:f>'Pivot Table'!$D$3:$D$4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'Pivot Table'!$A$5:$A$14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Table'!$D$5:$D$14</c:f>
              <c:numCache>
                <c:formatCode>General</c:formatCode>
                <c:ptCount val="6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D-459E-A971-D1E70D1B45AF}"/>
            </c:ext>
          </c:extLst>
        </c:ser>
        <c:ser>
          <c:idx val="3"/>
          <c:order val="3"/>
          <c:tx>
            <c:strRef>
              <c:f>'Pivot Table'!$E$3:$E$4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'Pivot Table'!$A$5:$A$14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Table'!$E$5:$E$14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6D-459E-A971-D1E70D1B45AF}"/>
            </c:ext>
          </c:extLst>
        </c:ser>
        <c:ser>
          <c:idx val="4"/>
          <c:order val="4"/>
          <c:tx>
            <c:strRef>
              <c:f>'Pivot Table'!$F$3:$F$4</c:f>
              <c:strCache>
                <c:ptCount val="1"/>
                <c:pt idx="0">
                  <c:v>United  States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'Pivot Table'!$A$5:$A$14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Table'!$F$5:$F$14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76D-459E-A971-D1E70D1B45AF}"/>
            </c:ext>
          </c:extLst>
        </c:ser>
        <c:ser>
          <c:idx val="5"/>
          <c:order val="5"/>
          <c:tx>
            <c:strRef>
              <c:f>'Pivot Table'!$G$3:$G$4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'Pivot Table'!$A$5:$A$14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Table'!$G$5:$G$14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76D-459E-A971-D1E70D1B45AF}"/>
            </c:ext>
          </c:extLst>
        </c:ser>
        <c:ser>
          <c:idx val="6"/>
          <c:order val="6"/>
          <c:tx>
            <c:strRef>
              <c:f>'Pivot Table'!$H$3:$H$4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'Pivot Table'!$A$5:$A$14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Table'!$H$5:$H$14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6</c:v>
                </c:pt>
                <c:pt idx="4">
                  <c:v>27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76D-459E-A971-D1E70D1B45AF}"/>
            </c:ext>
          </c:extLst>
        </c:ser>
        <c:ser>
          <c:idx val="7"/>
          <c:order val="7"/>
          <c:tx>
            <c:strRef>
              <c:f>'Pivot Table'!$I$3:$I$4</c:f>
              <c:strCache>
                <c:ptCount val="1"/>
                <c:pt idx="0">
                  <c:v>United States 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'Pivot Table'!$A$5:$A$14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Table'!$I$5:$I$14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76D-459E-A971-D1E70D1B45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11796895"/>
        <c:axId val="1111781535"/>
      </c:barChart>
      <c:catAx>
        <c:axId val="1111796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781535"/>
        <c:crosses val="autoZero"/>
        <c:auto val="1"/>
        <c:lblAlgn val="ctr"/>
        <c:lblOffset val="100"/>
        <c:noMultiLvlLbl val="0"/>
      </c:catAx>
      <c:valAx>
        <c:axId val="111178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796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1438274</xdr:colOff>
      <xdr:row>14</xdr:row>
      <xdr:rowOff>166687</xdr:rowOff>
    </xdr:from>
    <xdr:to>
      <xdr:col>7</xdr:col>
      <xdr:colOff>219074</xdr:colOff>
      <xdr:row>31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595155-74E6-31C7-2836-543055EB4A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07.65808645833" createdVersion="8" refreshedVersion="8" minRefreshableVersion="3" recordCount="88" xr:uid="{2BBCCB55-8C16-4603-AE76-D00034796009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8">
        <s v="United States"/>
        <s v="United Kingdom"/>
        <s v="Australia"/>
        <s v="United  States"/>
        <s v="United States 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8">
      <sharedItems containsSemiMixedTypes="0" containsString="0" containsNumber="1" containsInteger="1" minValue="295" maxValue="1912"/>
    </cacheField>
    <cacheField name=" Unit_Price " numFmtId="8">
      <sharedItems containsSemiMixedTypes="0" containsString="0" containsNumber="1" containsInteger="1" minValue="540" maxValue="3400"/>
    </cacheField>
    <cacheField name=" Profit " numFmtId="8">
      <sharedItems containsSemiMixedTypes="0" containsString="0" containsNumber="1" containsInteger="1" minValue="245" maxValue="5908"/>
    </cacheField>
    <cacheField name=" Cost " numFmtId="8">
      <sharedItems containsSemiMixedTypes="0" containsString="0" containsNumber="1" containsInteger="1" minValue="295" maxValue="7592"/>
    </cacheField>
    <cacheField name="Revenue" numFmtId="8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695"/>
    <d v="2021-12-01T00:00:00"/>
    <n v="1"/>
    <s v="December"/>
    <n v="2021"/>
    <n v="44"/>
    <x v="0"/>
    <x v="1"/>
    <x v="1"/>
    <s v="England"/>
    <s v="Bikes"/>
    <s v="Mountain Bikes"/>
    <s v="Mountain-200 Silver, 42"/>
    <n v="1"/>
    <n v="1266"/>
    <n v="2320"/>
    <n v="1054"/>
    <n v="1266"/>
    <n v="2320"/>
  </r>
  <r>
    <s v="000261697"/>
    <d v="2021-12-02T00:00:00"/>
    <n v="2"/>
    <s v="December"/>
    <n v="2021"/>
    <n v="37"/>
    <x v="0"/>
    <x v="1"/>
    <x v="0"/>
    <s v="California"/>
    <s v="Bikes"/>
    <s v="Mountain Bikes"/>
    <s v="Mountain-400-W Silver, 46"/>
    <n v="2"/>
    <n v="420"/>
    <n v="769"/>
    <n v="698"/>
    <n v="840"/>
    <n v="1538"/>
  </r>
  <r>
    <s v="000261698"/>
    <d v="2021-12-02T00:00:00"/>
    <n v="2"/>
    <s v="December"/>
    <n v="2021"/>
    <n v="31"/>
    <x v="1"/>
    <x v="0"/>
    <x v="2"/>
    <s v="New South Wales"/>
    <s v="Bikes"/>
    <s v="Mountain Bikes"/>
    <s v="Mountain-400-W Silver, 42"/>
    <n v="1"/>
    <n v="420"/>
    <n v="769"/>
    <n v="349"/>
    <n v="420"/>
    <n v="769"/>
  </r>
  <r>
    <s v="000261699"/>
    <d v="2021-12-03T00:00:00"/>
    <n v="3"/>
    <s v="December"/>
    <n v="2021"/>
    <n v="37"/>
    <x v="0"/>
    <x v="0"/>
    <x v="3"/>
    <s v="California"/>
    <s v="Bikes"/>
    <s v="Mountain Bikes"/>
    <s v="Mountain-200 Black, 46"/>
    <n v="2"/>
    <n v="1252"/>
    <n v="2295"/>
    <n v="2086"/>
    <n v="2504"/>
    <n v="4590"/>
  </r>
  <r>
    <s v="000261700"/>
    <d v="2021-12-03T00:00:00"/>
    <n v="3"/>
    <s v="December"/>
    <n v="2021"/>
    <n v="24"/>
    <x v="2"/>
    <x v="0"/>
    <x v="1"/>
    <s v="England"/>
    <s v="Bikes"/>
    <s v="Mountain Bikes"/>
    <s v="Mountain-200 Black, 38"/>
    <n v="1"/>
    <n v="1252"/>
    <n v="2295"/>
    <n v="1043"/>
    <n v="1252"/>
    <n v="2295"/>
  </r>
  <r>
    <s v="000261701"/>
    <d v="2021-12-03T00:00:00"/>
    <n v="3"/>
    <s v="December"/>
    <n v="2021"/>
    <n v="37"/>
    <x v="0"/>
    <x v="1"/>
    <x v="4"/>
    <s v="Washington"/>
    <s v="Bikes"/>
    <s v="Mountain Bikes"/>
    <s v="Mountain-200 Black, 46"/>
    <n v="1"/>
    <n v="1252"/>
    <n v="2295"/>
    <n v="1043"/>
    <n v="1252"/>
    <n v="2295"/>
  </r>
  <r>
    <s v="000261702"/>
    <d v="2021-12-04T00:00:00"/>
    <n v="4"/>
    <s v="December"/>
    <n v="2021"/>
    <n v="31"/>
    <x v="1"/>
    <x v="0"/>
    <x v="2"/>
    <s v="New South Wales"/>
    <s v="Bikes"/>
    <s v="Mountain Bikes"/>
    <s v="Mountain-400-W Silver, 42"/>
    <n v="4"/>
    <n v="420"/>
    <n v="769"/>
    <n v="1396"/>
    <n v="1680"/>
    <n v="3076"/>
  </r>
  <r>
    <s v="000261703"/>
    <d v="2021-12-05T00:00:00"/>
    <n v="5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04"/>
    <d v="2021-12-05T00:00:00"/>
    <m/>
    <s v="December"/>
    <n v="2021"/>
    <n v="42"/>
    <x v="0"/>
    <x v="1"/>
    <x v="5"/>
    <s v="Nordrhein-Westfalen"/>
    <s v="Bikes"/>
    <s v="Mountain Bikes"/>
    <s v="Mountain-200 Black, 38"/>
    <n v="4"/>
    <n v="1252"/>
    <n v="2295"/>
    <n v="4172"/>
    <n v="5008"/>
    <n v="9180"/>
  </r>
  <r>
    <s v="000261705"/>
    <d v="2021-12-05T00:00:00"/>
    <n v="5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06"/>
    <d v="2021-12-05T00:00:00"/>
    <n v="5"/>
    <s v="December"/>
    <n v="2021"/>
    <n v="37"/>
    <x v="0"/>
    <x v="0"/>
    <x v="0"/>
    <s v="California"/>
    <s v="Bikes"/>
    <s v="Mountain Bikes"/>
    <s v="Mountain-200 Black, 46"/>
    <n v="1"/>
    <n v="1252"/>
    <n v="2295"/>
    <n v="1043"/>
    <n v="1252"/>
    <n v="2295"/>
  </r>
  <r>
    <s v="000261707"/>
    <d v="2021-12-06T00:00:00"/>
    <n v="6"/>
    <s v="December"/>
    <n v="2021"/>
    <n v="23"/>
    <x v="2"/>
    <x v="1"/>
    <x v="1"/>
    <s v="England"/>
    <s v="Bikes"/>
    <s v="Mountain Bikes"/>
    <s v="Mountain-400-W Silver, 46"/>
    <n v="3"/>
    <n v="420"/>
    <n v="769"/>
    <n v="1047"/>
    <n v="1260"/>
    <n v="2307"/>
  </r>
  <r>
    <s v="000261708"/>
    <d v="2021-12-06T00:00:00"/>
    <n v="6"/>
    <s v="December"/>
    <n v="2021"/>
    <n v="27"/>
    <x v="1"/>
    <x v="1"/>
    <x v="6"/>
    <s v="British Columbia"/>
    <s v="Bikes"/>
    <s v="Mountain Bikes"/>
    <s v="Mountain-200 Black, 46"/>
    <n v="1"/>
    <n v="1252"/>
    <n v="2295"/>
    <n v="1043"/>
    <n v="1252"/>
    <n v="2295"/>
  </r>
  <r>
    <s v="000261709"/>
    <d v="2021-12-06T00:00:00"/>
    <n v="6"/>
    <s v="December"/>
    <n v="2021"/>
    <n v="36"/>
    <x v="0"/>
    <x v="1"/>
    <x v="2"/>
    <s v="New South Wales"/>
    <s v="Bikes"/>
    <s v="Mountain Bikes"/>
    <s v="Mountain-200 Black, 42"/>
    <n v="1"/>
    <n v="1252"/>
    <n v="2295"/>
    <n v="1043"/>
    <n v="1252"/>
    <n v="2295"/>
  </r>
  <r>
    <s v="000261710"/>
    <d v="2021-12-06T00:00:00"/>
    <n v="6"/>
    <s v="December"/>
    <n v="2021"/>
    <n v="47"/>
    <x v="0"/>
    <x v="1"/>
    <x v="1"/>
    <s v="England"/>
    <s v="Bikes"/>
    <s v="Mountain Bikes"/>
    <s v="Mountain-200 Silver, 38"/>
    <n v="1"/>
    <n v="1266"/>
    <n v="2320"/>
    <n v="1054"/>
    <n v="1266"/>
    <n v="2320"/>
  </r>
  <r>
    <s v="000261711"/>
    <d v="2021-12-07T00:00:00"/>
    <n v="7"/>
    <s v="December"/>
    <n v="2021"/>
    <n v="30"/>
    <x v="1"/>
    <x v="1"/>
    <x v="0"/>
    <s v="California"/>
    <s v="Bikes"/>
    <s v="Mountain Bikes"/>
    <s v="Mountain-400-W Silver, 38"/>
    <n v="4"/>
    <n v="420"/>
    <n v="769"/>
    <n v="1396"/>
    <n v="1680"/>
    <n v="3076"/>
  </r>
  <r>
    <s v="000261712"/>
    <d v="2021-12-07T00:00:00"/>
    <n v="7"/>
    <s v="December"/>
    <n v="2021"/>
    <n v="38"/>
    <x v="0"/>
    <x v="1"/>
    <x v="0"/>
    <s v="California"/>
    <s v="Bikes"/>
    <s v="Mountain Bikes"/>
    <s v="Mountain-200 Silver, 42"/>
    <n v="2"/>
    <n v="1266"/>
    <n v="2320"/>
    <n v="2108"/>
    <n v="2532"/>
    <n v="4640"/>
  </r>
  <r>
    <s v="000261713"/>
    <d v="2021-12-08T00:00:00"/>
    <n v="8"/>
    <s v="December"/>
    <n v="2021"/>
    <n v="19"/>
    <x v="2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14"/>
    <d v="2021-12-08T00:00:00"/>
    <n v="8"/>
    <s v="December"/>
    <n v="2021"/>
    <n v="30"/>
    <x v="1"/>
    <x v="0"/>
    <x v="6"/>
    <s v="British Columbia"/>
    <s v="Bikes"/>
    <s v="Mountain Bikes"/>
    <s v="Mountain-200 Silver, 38"/>
    <n v="4"/>
    <n v="1266"/>
    <n v="2320"/>
    <n v="4216"/>
    <n v="5064"/>
    <n v="9280"/>
  </r>
  <r>
    <s v="000261715"/>
    <d v="2021-12-08T00:00:00"/>
    <n v="8"/>
    <s v="December"/>
    <n v="2021"/>
    <n v="39"/>
    <x v="0"/>
    <x v="0"/>
    <x v="0"/>
    <s v="Oregon"/>
    <s v="Bikes"/>
    <s v="Mountain Bikes"/>
    <s v="Mountain-500 Black, 42"/>
    <n v="2"/>
    <n v="1252"/>
    <n v="2295"/>
    <n v="2086"/>
    <n v="2504"/>
    <n v="4590"/>
  </r>
  <r>
    <s v="000261716"/>
    <d v="2021-12-08T00:00:00"/>
    <n v="8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17"/>
    <d v="2021-12-09T00:00:00"/>
    <n v="9"/>
    <s v="December"/>
    <n v="2021"/>
    <n v="33"/>
    <x v="1"/>
    <x v="0"/>
    <x v="2"/>
    <s v="Victoria"/>
    <s v="Bikes"/>
    <s v="Mountain Bikes"/>
    <s v="Mountain-100 Black, 38"/>
    <n v="2"/>
    <n v="1898"/>
    <n v="3375"/>
    <n v="2954"/>
    <n v="3796"/>
    <n v="6750"/>
  </r>
  <r>
    <s v="000261718"/>
    <d v="2021-12-09T00:00:00"/>
    <n v="9"/>
    <s v="December"/>
    <n v="2021"/>
    <n v="41"/>
    <x v="0"/>
    <x v="0"/>
    <x v="5"/>
    <s v="Hamburg"/>
    <s v="Bikes"/>
    <s v="Mountain Bikes"/>
    <s v="Mountain-200 Silver, 42"/>
    <n v="1"/>
    <n v="1266"/>
    <n v="2320"/>
    <n v="1054"/>
    <n v="1266"/>
    <n v="2320"/>
  </r>
  <r>
    <s v="000261719"/>
    <d v="2021-12-10T00:00:00"/>
    <n v="10"/>
    <s v="December"/>
    <n v="2021"/>
    <n v="34"/>
    <x v="1"/>
    <x v="0"/>
    <x v="0"/>
    <s v="California"/>
    <s v="Bikes"/>
    <s v="Mountain Bikes"/>
    <s v="Mountain-200 Black, 42"/>
    <n v="2"/>
    <n v="1252"/>
    <n v="2295"/>
    <n v="2086"/>
    <n v="2504"/>
    <n v="4590"/>
  </r>
  <r>
    <s v="000261720"/>
    <d v="2021-12-10T00:00:00"/>
    <n v="10"/>
    <s v="December"/>
    <n v="2021"/>
    <n v="40"/>
    <x v="0"/>
    <x v="1"/>
    <x v="2"/>
    <s v="New South Wales"/>
    <s v="Bikes"/>
    <s v="Mountain Bikes"/>
    <s v="Mountain-200 Black, 42"/>
    <n v="2"/>
    <n v="1252"/>
    <n v="2295"/>
    <n v="2086"/>
    <n v="2504"/>
    <n v="4590"/>
  </r>
  <r>
    <s v="000261721"/>
    <d v="2021-12-10T00:00:00"/>
    <n v="10"/>
    <s v="December"/>
    <n v="2021"/>
    <n v="26"/>
    <x v="1"/>
    <x v="1"/>
    <x v="1"/>
    <s v="England"/>
    <s v="Bikes"/>
    <s v="Mountain Bikes"/>
    <s v="Mountain-200 Black, 38"/>
    <n v="1"/>
    <n v="1252"/>
    <n v="2295"/>
    <n v="1043"/>
    <n v="1252"/>
    <n v="2295"/>
  </r>
  <r>
    <s v="000261722"/>
    <d v="2021-12-10T00:00:00"/>
    <n v="10"/>
    <s v="December"/>
    <n v="2021"/>
    <n v="34"/>
    <x v="1"/>
    <x v="1"/>
    <x v="0"/>
    <s v="California"/>
    <s v="Bikes"/>
    <s v="Mountain Bikes"/>
    <s v="Mountain-500 Black, 40"/>
    <n v="1"/>
    <n v="295"/>
    <n v="540"/>
    <n v="245"/>
    <n v="295"/>
    <n v="540"/>
  </r>
  <r>
    <s v="000261723"/>
    <d v="2021-12-10T00:00:00"/>
    <n v="10"/>
    <s v="December"/>
    <n v="2021"/>
    <n v="34"/>
    <x v="1"/>
    <x v="0"/>
    <x v="0"/>
    <s v="Washington"/>
    <s v="Bikes"/>
    <s v="Mountain Bikes"/>
    <s v="Mountain-100 Silver, 44"/>
    <n v="1"/>
    <n v="1912"/>
    <n v="3400"/>
    <n v="1488"/>
    <n v="1912"/>
    <n v="3400"/>
  </r>
  <r>
    <s v="000261724"/>
    <d v="2021-12-10T00:00:00"/>
    <n v="10"/>
    <s v="December"/>
    <n v="2021"/>
    <n v="38"/>
    <x v="0"/>
    <x v="1"/>
    <x v="2"/>
    <s v="New South Wales"/>
    <s v="Bikes"/>
    <s v="Mountain Bikes"/>
    <s v="Mountain-200 Black, 38"/>
    <n v="1"/>
    <n v="1252"/>
    <n v="2295"/>
    <n v="1043"/>
    <n v="1252"/>
    <n v="2295"/>
  </r>
  <r>
    <s v="000261725"/>
    <d v="2021-12-11T00:00:00"/>
    <n v="11"/>
    <s v="December"/>
    <n v="2021"/>
    <n v="24"/>
    <x v="2"/>
    <x v="0"/>
    <x v="7"/>
    <s v="Seine (Paris)"/>
    <s v="Bikes"/>
    <s v="Mountain Bikes"/>
    <s v="Mountain-200 Black, 38"/>
    <n v="3"/>
    <n v="1252"/>
    <n v="2295"/>
    <n v="3129"/>
    <n v="3756"/>
    <n v="6885"/>
  </r>
  <r>
    <s v="000261726"/>
    <d v="2021-12-11T00:00:00"/>
    <n v="11"/>
    <s v="December"/>
    <n v="2021"/>
    <n v="41"/>
    <x v="0"/>
    <x v="0"/>
    <x v="2"/>
    <s v="New South Wales"/>
    <s v="Bikes"/>
    <s v="Mountain Bikes"/>
    <s v="Mountain-400-W Silver, 38"/>
    <n v="2"/>
    <n v="420"/>
    <n v="769"/>
    <n v="698"/>
    <n v="840"/>
    <n v="1538"/>
  </r>
  <r>
    <s v="000261727"/>
    <d v="2021-12-11T00:00:00"/>
    <n v="11"/>
    <s v="December"/>
    <n v="2021"/>
    <n v="27"/>
    <x v="1"/>
    <x v="1"/>
    <x v="6"/>
    <s v="British Columbia"/>
    <s v="Bikes"/>
    <s v="Mountain Bikes"/>
    <s v="Mountain-200 Black, 46"/>
    <n v="1"/>
    <n v="1252"/>
    <n v="2295"/>
    <n v="1043"/>
    <n v="1252"/>
    <n v="2295"/>
  </r>
  <r>
    <s v="000261728"/>
    <d v="2021-12-11T00:00:00"/>
    <n v="11"/>
    <s v="December"/>
    <n v="2021"/>
    <n v="37"/>
    <x v="0"/>
    <x v="1"/>
    <x v="0"/>
    <s v="California"/>
    <s v="Bikes"/>
    <s v="Mountain Bikes"/>
    <s v="Mountain-400-W Silver, 46"/>
    <n v="1"/>
    <n v="420"/>
    <n v="769"/>
    <n v="349"/>
    <n v="420"/>
    <n v="769"/>
  </r>
  <r>
    <s v="000261729"/>
    <d v="2021-12-11T00:00:00"/>
    <n v="11"/>
    <s v="December"/>
    <n v="2021"/>
    <n v="38"/>
    <x v="0"/>
    <x v="0"/>
    <x v="0"/>
    <s v="California"/>
    <s v="Bikes"/>
    <s v="Mountain Bikes"/>
    <s v="Mountain-200 Silver, 38"/>
    <n v="1"/>
    <n v="1266"/>
    <n v="2320"/>
    <n v="1054"/>
    <n v="1266"/>
    <n v="2320"/>
  </r>
  <r>
    <s v="000261730"/>
    <d v="2021-12-12T00:00:00"/>
    <n v="12"/>
    <s v="December"/>
    <n v="2021"/>
    <n v="36"/>
    <x v="0"/>
    <x v="0"/>
    <x v="2"/>
    <s v="New South Wales"/>
    <s v="Bikes"/>
    <s v="Mountain Bikes"/>
    <s v="Mountain-200 Silver, 42"/>
    <n v="4"/>
    <n v="1266"/>
    <n v="2320"/>
    <n v="4216"/>
    <n v="5064"/>
    <n v="9280"/>
  </r>
  <r>
    <s v="000261731"/>
    <d v="2021-12-12T00:00:00"/>
    <n v="12"/>
    <s v="December"/>
    <n v="2021"/>
    <n v="37"/>
    <x v="0"/>
    <x v="1"/>
    <x v="0"/>
    <s v="California"/>
    <s v="Bikes"/>
    <s v="Mountain Bikes"/>
    <s v="Mountain-400-W Silver, 46"/>
    <n v="4"/>
    <n v="420"/>
    <n v="769"/>
    <n v="1396"/>
    <n v="1680"/>
    <n v="3076"/>
  </r>
  <r>
    <s v="000261732"/>
    <d v="2021-12-12T00:00:00"/>
    <n v="12"/>
    <s v="December"/>
    <n v="2021"/>
    <n v="34"/>
    <x v="1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33"/>
    <d v="2021-12-12T00:00:00"/>
    <n v="12"/>
    <s v="December"/>
    <n v="2021"/>
    <n v="35"/>
    <x v="0"/>
    <x v="0"/>
    <x v="2"/>
    <s v="Victoria"/>
    <s v="Bikes"/>
    <s v="Mountain Bikes"/>
    <s v="Mountain-200 Silver, 42"/>
    <n v="1"/>
    <n v="1266"/>
    <n v="2320"/>
    <n v="1054"/>
    <n v="1266"/>
    <n v="2320"/>
  </r>
  <r>
    <s v="000261734"/>
    <d v="2021-12-12T00:00:00"/>
    <n v="12"/>
    <s v="December"/>
    <n v="2021"/>
    <n v="38"/>
    <x v="0"/>
    <x v="0"/>
    <x v="0"/>
    <s v="Washington"/>
    <s v="Bikes"/>
    <s v="Mountain Bikes"/>
    <s v="Mountain-200 Silver, 42"/>
    <n v="1"/>
    <n v="1266"/>
    <n v="2320"/>
    <n v="1054"/>
    <n v="1266"/>
    <n v="2320"/>
  </r>
  <r>
    <s v="000261735"/>
    <d v="2021-12-13T00:00:00"/>
    <n v="13"/>
    <s v="December"/>
    <n v="2021"/>
    <n v="32"/>
    <x v="1"/>
    <x v="0"/>
    <x v="2"/>
    <s v="Queensland"/>
    <s v="Bikes"/>
    <s v="Mountain Bikes"/>
    <s v="Mountain-200 Silver, 42"/>
    <n v="3"/>
    <n v="1266"/>
    <n v="2320"/>
    <n v="3162"/>
    <n v="3798"/>
    <n v="6960"/>
  </r>
  <r>
    <s v="000261736"/>
    <d v="2021-12-13T00:00:00"/>
    <n v="13"/>
    <s v="December"/>
    <n v="2021"/>
    <n v="40"/>
    <x v="0"/>
    <x v="0"/>
    <x v="0"/>
    <s v="California"/>
    <s v="Bikes"/>
    <s v="Mountain Bikes"/>
    <s v="Mountain-500 Silver, 40"/>
    <n v="1"/>
    <n v="308"/>
    <n v="565"/>
    <n v="257"/>
    <n v="308"/>
    <n v="565"/>
  </r>
  <r>
    <s v="000261737"/>
    <d v="2021-12-13T00:00:00"/>
    <n v="13"/>
    <s v="December"/>
    <n v="2021"/>
    <n v="44"/>
    <x v="0"/>
    <x v="0"/>
    <x v="1"/>
    <s v="England"/>
    <s v="Bikes"/>
    <s v="Mountain Bikes"/>
    <s v="Mountain-200 Black, 38"/>
    <n v="1"/>
    <n v="1252"/>
    <n v="2295"/>
    <n v="1043"/>
    <n v="1252"/>
    <n v="2295"/>
  </r>
  <r>
    <s v="000261738"/>
    <d v="2021-12-13T00:00:00"/>
    <n v="13"/>
    <s v="December"/>
    <n v="2021"/>
    <n v="49"/>
    <x v="0"/>
    <x v="1"/>
    <x v="1"/>
    <s v="England"/>
    <s v="Bikes"/>
    <s v="Mountain Bikes"/>
    <s v="Mountain-200 Black, 38"/>
    <n v="1"/>
    <n v="1252"/>
    <n v="2295"/>
    <n v="1043"/>
    <n v="1252"/>
    <n v="2295"/>
  </r>
  <r>
    <s v="000261739"/>
    <d v="2021-12-14T00:00:00"/>
    <n v="14"/>
    <s v="December"/>
    <n v="2021"/>
    <n v="30"/>
    <x v="1"/>
    <x v="0"/>
    <x v="0"/>
    <s v="Washington"/>
    <s v="Bikes"/>
    <s v="Mountain Bikes"/>
    <s v="Mountain-200 Silver, 38"/>
    <n v="2"/>
    <n v="1266"/>
    <n v="2320"/>
    <n v="2108"/>
    <n v="2532"/>
    <n v="4640"/>
  </r>
  <r>
    <s v="000261740"/>
    <d v="2021-12-14T00:00:00"/>
    <n v="14"/>
    <s v="December"/>
    <n v="2021"/>
    <n v="32"/>
    <x v="1"/>
    <x v="1"/>
    <x v="0"/>
    <s v="California"/>
    <s v="Bikes"/>
    <s v="Mountain Bikes"/>
    <s v="Mountain-200 Black, 46"/>
    <n v="1"/>
    <n v="1252"/>
    <n v="2295"/>
    <n v="1043"/>
    <n v="1252"/>
    <n v="2295"/>
  </r>
  <r>
    <s v="000261741"/>
    <d v="2021-12-14T00:00:00"/>
    <n v="14"/>
    <s v="December"/>
    <n v="2021"/>
    <n v="32"/>
    <x v="1"/>
    <x v="0"/>
    <x v="2"/>
    <s v="Victoria"/>
    <s v="Bikes"/>
    <s v="Mountain Bikes"/>
    <s v="Mountain-400-W Silver, 46"/>
    <n v="1"/>
    <n v="420"/>
    <n v="769"/>
    <n v="349"/>
    <n v="420"/>
    <n v="769"/>
  </r>
  <r>
    <s v="000261742"/>
    <d v="2021-12-15T00:00:00"/>
    <n v="15"/>
    <s v="December"/>
    <n v="2021"/>
    <n v="29"/>
    <x v="1"/>
    <x v="0"/>
    <x v="0"/>
    <s v="California"/>
    <s v="Bikes"/>
    <s v="Mountain Bikes"/>
    <s v="Mountain-200 Silver, 42"/>
    <n v="1"/>
    <n v="1266"/>
    <n v="2320"/>
    <n v="1054"/>
    <n v="1266"/>
    <n v="2320"/>
  </r>
  <r>
    <s v="000261743"/>
    <d v="2021-12-16T00:00:00"/>
    <n v="16"/>
    <s v="December"/>
    <n v="2021"/>
    <n v="33"/>
    <x v="1"/>
    <x v="0"/>
    <x v="2"/>
    <s v="New South Wales"/>
    <s v="Bikes"/>
    <s v="Mountain Bikes"/>
    <s v="Mountain-200 Black, 38"/>
    <n v="2"/>
    <n v="1252"/>
    <n v="2295"/>
    <n v="2086"/>
    <n v="2504"/>
    <n v="4590"/>
  </r>
  <r>
    <s v="000261744"/>
    <d v="2021-12-16T00:00:00"/>
    <n v="16"/>
    <s v="December"/>
    <n v="2021"/>
    <n v="38"/>
    <x v="0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45"/>
    <d v="2021-12-16T00:00:00"/>
    <n v="16"/>
    <s v="December"/>
    <n v="2021"/>
    <n v="27"/>
    <x v="1"/>
    <x v="0"/>
    <x v="7"/>
    <s v="Seine et Marne"/>
    <s v="Bikes"/>
    <s v="Mountain Bikes"/>
    <s v="Mountain-200 Silver, 46"/>
    <n v="1"/>
    <n v="1266"/>
    <n v="2320"/>
    <n v="1054"/>
    <n v="1266"/>
    <n v="2320"/>
  </r>
  <r>
    <s v="000261746"/>
    <d v="2021-12-17T00:00:00"/>
    <n v="17"/>
    <s v="December"/>
    <n v="2021"/>
    <n v="37"/>
    <x v="0"/>
    <x v="0"/>
    <x v="0"/>
    <s v="Washington"/>
    <s v="Bikes"/>
    <s v="Mountain Bikes"/>
    <s v="Mountain-200 Silver, 38"/>
    <n v="2"/>
    <n v="1266"/>
    <n v="2320"/>
    <n v="2108"/>
    <n v="2532"/>
    <n v="4640"/>
  </r>
  <r>
    <s v="000261747"/>
    <d v="2021-12-17T00:00:00"/>
    <n v="17"/>
    <s v="December"/>
    <n v="2021"/>
    <n v="31"/>
    <x v="1"/>
    <x v="1"/>
    <x v="2"/>
    <s v="New South Wales"/>
    <s v="Bikes"/>
    <s v="Mountain Bikes"/>
    <s v="Mountain-400-W Silver, 42"/>
    <n v="1"/>
    <n v="420"/>
    <n v="769"/>
    <n v="349"/>
    <n v="420"/>
    <n v="769"/>
  </r>
  <r>
    <s v="000261748"/>
    <d v="2021-12-17T00:00:00"/>
    <n v="17"/>
    <s v="December"/>
    <n v="2021"/>
    <n v="42"/>
    <x v="0"/>
    <x v="0"/>
    <x v="5"/>
    <s v="Nordrhein-Westfalen"/>
    <s v="Bikes"/>
    <s v="Mountain Bikes"/>
    <s v="Mountain-200 Silver, 46"/>
    <n v="1"/>
    <n v="1266"/>
    <n v="2320"/>
    <n v="1054"/>
    <n v="1266"/>
    <n v="2320"/>
  </r>
  <r>
    <s v="000261749"/>
    <d v="2021-12-18T00:00:00"/>
    <n v="18"/>
    <s v="December"/>
    <n v="2021"/>
    <n v="35"/>
    <x v="0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50"/>
    <d v="2021-12-18T00:00:00"/>
    <n v="18"/>
    <s v="December"/>
    <n v="2021"/>
    <n v="38"/>
    <x v="0"/>
    <x v="0"/>
    <x v="5"/>
    <s v="Nordrhein-Westfalen"/>
    <s v="Bikes"/>
    <s v="Mountain Bikes"/>
    <s v="Mountain-200 Silver, 46"/>
    <n v="4"/>
    <n v="1266"/>
    <n v="2320"/>
    <n v="4216"/>
    <n v="5064"/>
    <n v="9280"/>
  </r>
  <r>
    <s v="000261751"/>
    <d v="2021-12-18T00:00:00"/>
    <n v="18"/>
    <s v="December"/>
    <n v="2021"/>
    <n v="24"/>
    <x v="2"/>
    <x v="0"/>
    <x v="7"/>
    <s v="Seine Saint Denis"/>
    <s v="Bikes"/>
    <s v="Mountain Bikes"/>
    <s v="Mountain-200 Silver, 38"/>
    <n v="3"/>
    <n v="1266"/>
    <n v="2320"/>
    <n v="3162"/>
    <n v="3798"/>
    <n v="6960"/>
  </r>
  <r>
    <s v="000261752"/>
    <d v="2021-12-18T00:00:00"/>
    <n v="18"/>
    <s v="December"/>
    <n v="2021"/>
    <n v="26"/>
    <x v="1"/>
    <x v="0"/>
    <x v="1"/>
    <s v="England"/>
    <s v="Bikes"/>
    <s v="Mountain Bikes"/>
    <s v="Mountain-400-W Silver, 42"/>
    <n v="3"/>
    <n v="420"/>
    <n v="769"/>
    <n v="1047"/>
    <n v="1260"/>
    <n v="2307"/>
  </r>
  <r>
    <s v="000261753"/>
    <d v="2021-12-18T00:00:00"/>
    <n v="18"/>
    <s v="December"/>
    <n v="2021"/>
    <n v="39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54"/>
    <d v="2021-12-18T00:00:00"/>
    <n v="18"/>
    <s v="December"/>
    <n v="2021"/>
    <n v="26"/>
    <x v="1"/>
    <x v="1"/>
    <x v="7"/>
    <s v="Seine (Paris)"/>
    <s v="Bikes"/>
    <s v="Mountain Bikes"/>
    <s v="Mountain-200 Black, 46"/>
    <n v="1"/>
    <n v="1252"/>
    <n v="2295"/>
    <n v="1043"/>
    <n v="1252"/>
    <n v="2295"/>
  </r>
  <r>
    <s v="000261755"/>
    <d v="2021-12-18T00:00:00"/>
    <n v="18"/>
    <s v="December"/>
    <n v="2021"/>
    <n v="36"/>
    <x v="0"/>
    <x v="1"/>
    <x v="0"/>
    <s v="Washington"/>
    <s v="Bikes"/>
    <s v="Mountain Bikes"/>
    <s v="Mountain-200 Silver, 38"/>
    <n v="1"/>
    <n v="1266"/>
    <n v="2320"/>
    <n v="1054"/>
    <n v="1266"/>
    <n v="2320"/>
  </r>
  <r>
    <s v="000261756"/>
    <d v="2021-12-19T00:00:00"/>
    <n v="19"/>
    <s v="December"/>
    <n v="2021"/>
    <n v="17"/>
    <x v="2"/>
    <x v="1"/>
    <x v="7"/>
    <s v="Nord"/>
    <s v="Bikes"/>
    <s v="Mountain Bikes"/>
    <s v="Mountain-200 Silver, 46"/>
    <n v="4"/>
    <n v="1266"/>
    <n v="2320"/>
    <n v="4216"/>
    <n v="5064"/>
    <n v="9280"/>
  </r>
  <r>
    <s v="000261757"/>
    <d v="2021-12-19T00:00:00"/>
    <n v="19"/>
    <s v="December"/>
    <n v="2021"/>
    <n v="19"/>
    <x v="2"/>
    <x v="0"/>
    <x v="2"/>
    <s v="Victoria"/>
    <s v="Bikes"/>
    <s v="Mountain Bikes"/>
    <s v="Mountain-500 Black, 44"/>
    <n v="4"/>
    <n v="295"/>
    <n v="540"/>
    <n v="980"/>
    <n v="1180"/>
    <n v="2160"/>
  </r>
  <r>
    <s v="000261758"/>
    <d v="2021-12-19T00:00:00"/>
    <n v="19"/>
    <s v="December"/>
    <n v="2021"/>
    <n v="25"/>
    <x v="1"/>
    <x v="1"/>
    <x v="7"/>
    <s v="Seine (Paris)"/>
    <s v="Bikes"/>
    <s v="Mountain Bikes"/>
    <s v="Mountain-200 Black, 38"/>
    <n v="4"/>
    <n v="1252"/>
    <n v="2295"/>
    <n v="4172"/>
    <n v="5008"/>
    <n v="9180"/>
  </r>
  <r>
    <s v="000261759"/>
    <d v="2021-12-19T00:00:00"/>
    <n v="19"/>
    <s v="December"/>
    <n v="2021"/>
    <n v="35"/>
    <x v="0"/>
    <x v="0"/>
    <x v="0"/>
    <s v="Oregon"/>
    <s v="Bikes"/>
    <s v="Mountain Bikes"/>
    <s v="Mountain-100 Black, 48"/>
    <n v="4"/>
    <n v="1898"/>
    <n v="3375"/>
    <n v="5908"/>
    <n v="7592"/>
    <n v="13500"/>
  </r>
  <r>
    <s v="000261760"/>
    <d v="2021-12-19T00:00:00"/>
    <n v="19"/>
    <s v="December"/>
    <n v="2021"/>
    <n v="37"/>
    <x v="0"/>
    <x v="1"/>
    <x v="0"/>
    <s v="Oregon"/>
    <s v="Bikes"/>
    <s v="Mountain Bikes"/>
    <s v="Mountain-200 Black, 38"/>
    <n v="4"/>
    <n v="1252"/>
    <n v="2295"/>
    <n v="4172"/>
    <n v="5008"/>
    <n v="9180"/>
  </r>
  <r>
    <s v="000261761"/>
    <d v="2021-12-19T00:00:00"/>
    <n v="19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62"/>
    <d v="2021-12-19T00:00:00"/>
    <n v="19"/>
    <s v="December"/>
    <n v="2021"/>
    <n v="63"/>
    <x v="0"/>
    <x v="0"/>
    <x v="2"/>
    <s v="Queensland"/>
    <s v="Bikes"/>
    <s v="Mountain Bikes"/>
    <s v="Mountain-200 Black, 46"/>
    <n v="4"/>
    <n v="1252"/>
    <n v="2295"/>
    <n v="4172"/>
    <n v="5008"/>
    <n v="9180"/>
  </r>
  <r>
    <s v="000261763"/>
    <d v="2021-12-19T00:00:00"/>
    <n v="19"/>
    <s v="December"/>
    <n v="2021"/>
    <n v="18"/>
    <x v="2"/>
    <x v="1"/>
    <x v="2"/>
    <s v="South Australia"/>
    <s v="Bikes"/>
    <s v="Mountain Bikes"/>
    <s v="Mountain-500 Black, 40"/>
    <n v="2"/>
    <n v="295"/>
    <n v="540"/>
    <n v="490"/>
    <n v="590"/>
    <n v="1080"/>
  </r>
  <r>
    <s v="000261764"/>
    <d v="2021-12-19T00:00:00"/>
    <n v="19"/>
    <s v="December"/>
    <n v="2021"/>
    <n v="56"/>
    <x v="0"/>
    <x v="0"/>
    <x v="5"/>
    <s v="Hessen"/>
    <s v="Bikes"/>
    <s v="Mountain Bikes"/>
    <s v="Mountain-200 Black, 46"/>
    <n v="2"/>
    <n v="1252"/>
    <n v="2295"/>
    <n v="2086"/>
    <n v="2504"/>
    <n v="4590"/>
  </r>
  <r>
    <s v="000261765"/>
    <d v="2021-12-19T00:00:00"/>
    <n v="19"/>
    <s v="December"/>
    <n v="2021"/>
    <n v="39"/>
    <x v="0"/>
    <x v="0"/>
    <x v="0"/>
    <s v="Washington"/>
    <s v="Bikes"/>
    <s v="Mountain Bikes"/>
    <s v="Mountain-200 Silver, 38"/>
    <n v="1"/>
    <n v="1266"/>
    <n v="2320"/>
    <n v="1054"/>
    <n v="1266"/>
    <n v="2320"/>
  </r>
  <r>
    <s v="000261766"/>
    <d v="2021-12-20T00:00:00"/>
    <n v="20"/>
    <s v="December"/>
    <n v="2021"/>
    <n v="33"/>
    <x v="1"/>
    <x v="0"/>
    <x v="2"/>
    <s v="Victoria"/>
    <s v="Bikes"/>
    <s v="Mountain Bikes"/>
    <s v="Mountain-100 Black, 38"/>
    <n v="4"/>
    <n v="1898"/>
    <n v="3375"/>
    <n v="5908"/>
    <n v="7592"/>
    <n v="13500"/>
  </r>
  <r>
    <s v="000261767"/>
    <d v="2021-12-20T00:00:00"/>
    <n v="20"/>
    <s v="December"/>
    <n v="2021"/>
    <n v="57"/>
    <x v="0"/>
    <x v="1"/>
    <x v="2"/>
    <s v="Queensland"/>
    <s v="Bikes"/>
    <s v="Mountain Bikes"/>
    <s v="Mountain-200 Black, 46"/>
    <n v="4"/>
    <n v="1252"/>
    <n v="2295"/>
    <n v="4172"/>
    <n v="5008"/>
    <n v="9180"/>
  </r>
  <r>
    <s v="000261768"/>
    <d v="2021-12-20T00:00:00"/>
    <n v="20"/>
    <s v="December"/>
    <n v="2021"/>
    <n v="29"/>
    <x v="1"/>
    <x v="1"/>
    <x v="6"/>
    <s v="British Columbia"/>
    <s v="Bikes"/>
    <s v="Mountain Bikes"/>
    <s v="Mountain-500 Black, 52"/>
    <n v="3"/>
    <n v="295"/>
    <n v="540"/>
    <n v="735"/>
    <n v="885"/>
    <n v="1620"/>
  </r>
  <r>
    <s v="000261769"/>
    <d v="2021-12-20T00:00:00"/>
    <n v="20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70"/>
    <d v="2021-12-20T00:00:00"/>
    <n v="20"/>
    <s v="December"/>
    <n v="2021"/>
    <n v="35"/>
    <x v="0"/>
    <x v="1"/>
    <x v="2"/>
    <s v="Victoria"/>
    <s v="Bikes"/>
    <s v="Mountain Bikes"/>
    <s v="Mountain-200 Silver, 38"/>
    <n v="1"/>
    <n v="1266"/>
    <n v="2320"/>
    <n v="1054"/>
    <n v="1266"/>
    <n v="2320"/>
  </r>
  <r>
    <s v="000261771"/>
    <d v="2021-12-21T00:00:00"/>
    <n v="21"/>
    <s v="December"/>
    <n v="2021"/>
    <n v="26"/>
    <x v="1"/>
    <x v="1"/>
    <x v="7"/>
    <s v="Somme"/>
    <s v="Bikes"/>
    <s v="Mountain Bikes"/>
    <s v="Mountain-200 Silver, 38"/>
    <n v="3"/>
    <n v="1266"/>
    <n v="2320"/>
    <n v="3162"/>
    <n v="3798"/>
    <n v="6960"/>
  </r>
  <r>
    <s v="000261772"/>
    <d v="2021-12-21T00:00:00"/>
    <n v="21"/>
    <s v="December"/>
    <n v="2021"/>
    <n v="23"/>
    <x v="2"/>
    <x v="1"/>
    <x v="1"/>
    <s v="England"/>
    <s v="Bikes"/>
    <s v="Mountain Bikes"/>
    <s v="Mountain-400-W Silver, 46"/>
    <n v="2"/>
    <n v="420"/>
    <n v="769"/>
    <n v="698"/>
    <n v="840"/>
    <n v="1538"/>
  </r>
  <r>
    <s v="000261773"/>
    <d v="2021-12-22T00:00:00"/>
    <n v="22"/>
    <s v="December"/>
    <n v="2021"/>
    <n v="30"/>
    <x v="1"/>
    <x v="0"/>
    <x v="0"/>
    <s v="Washington"/>
    <s v="Bikes"/>
    <s v="Mountain Bikes"/>
    <s v="Mountain-200 Silver, 38"/>
    <n v="3"/>
    <n v="1266"/>
    <n v="2320"/>
    <n v="3162"/>
    <n v="3798"/>
    <n v="6960"/>
  </r>
  <r>
    <s v="000261774"/>
    <d v="2021-12-22T00:00:00"/>
    <n v="22"/>
    <s v="December"/>
    <n v="2021"/>
    <n v="41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75"/>
    <d v="2021-12-22T00:00:00"/>
    <n v="22"/>
    <s v="December"/>
    <n v="2021"/>
    <n v="19"/>
    <x v="2"/>
    <x v="0"/>
    <x v="2"/>
    <s v="New South Wales"/>
    <s v="Bikes"/>
    <s v="Mountain Bikes"/>
    <s v="Mountain-500 Silver, 42"/>
    <n v="1"/>
    <n v="308"/>
    <n v="565"/>
    <n v="257"/>
    <n v="308"/>
    <n v="565"/>
  </r>
  <r>
    <s v="000261776"/>
    <d v="2021-12-22T00:00:00"/>
    <n v="22"/>
    <s v="December"/>
    <n v="2021"/>
    <n v="25"/>
    <x v="1"/>
    <x v="1"/>
    <x v="7"/>
    <s v="Seine (Paris)"/>
    <s v="Bikes"/>
    <s v="Mountain Bikes"/>
    <s v="Mountain-200 Black, 38"/>
    <n v="1"/>
    <n v="1252"/>
    <n v="2295"/>
    <n v="1043"/>
    <n v="1252"/>
    <n v="2295"/>
  </r>
  <r>
    <s v="000261777"/>
    <d v="2021-12-22T00:00:00"/>
    <n v="22"/>
    <s v="December"/>
    <n v="2021"/>
    <n v="27"/>
    <x v="1"/>
    <x v="0"/>
    <x v="6"/>
    <s v="British Columbia"/>
    <s v="Bikes"/>
    <s v="Mountain Bikes"/>
    <s v="Mountain-200 Black, 46"/>
    <n v="1"/>
    <n v="1252"/>
    <n v="2295"/>
    <n v="1043"/>
    <n v="1252"/>
    <n v="2295"/>
  </r>
  <r>
    <s v="000261778"/>
    <d v="2021-12-22T00:00:00"/>
    <n v="22"/>
    <s v="December"/>
    <n v="2021"/>
    <n v="41"/>
    <x v="0"/>
    <x v="1"/>
    <x v="5"/>
    <s v="Hessen"/>
    <s v="Bikes"/>
    <s v="Mountain Bikes"/>
    <s v="Mountain-200 Silver, 38"/>
    <n v="1"/>
    <n v="1266"/>
    <n v="2320"/>
    <n v="1054"/>
    <n v="1266"/>
    <n v="2320"/>
  </r>
  <r>
    <s v="000261779"/>
    <d v="2021-12-23T00:00:00"/>
    <n v="23"/>
    <s v="December"/>
    <n v="2021"/>
    <n v="30"/>
    <x v="1"/>
    <x v="0"/>
    <x v="0"/>
    <s v="Oregon"/>
    <s v="Bikes"/>
    <s v="Mountain Bikes"/>
    <s v="Mountain-200 Silver, 42"/>
    <n v="1"/>
    <n v="1266"/>
    <n v="2320"/>
    <n v="1054"/>
    <n v="1266"/>
    <n v="2320"/>
  </r>
  <r>
    <s v="000261780"/>
    <d v="2021-12-23T00:00:00"/>
    <n v="23"/>
    <s v="December"/>
    <n v="2021"/>
    <n v="31"/>
    <x v="1"/>
    <x v="0"/>
    <x v="6"/>
    <s v="British Columbia"/>
    <s v="Bikes"/>
    <s v="Mountain Bikes"/>
    <s v="Mountain-200 Black, 42"/>
    <n v="1"/>
    <n v="1252"/>
    <n v="2295"/>
    <n v="1043"/>
    <n v="1252"/>
    <n v="2295"/>
  </r>
  <r>
    <s v="000261781"/>
    <d v="2021-12-23T00:00:00"/>
    <n v="23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82"/>
    <d v="2021-12-24T00:00:00"/>
    <n v="24"/>
    <s v="December"/>
    <n v="2021"/>
    <n v="38"/>
    <x v="0"/>
    <x v="1"/>
    <x v="2"/>
    <s v="Queensland"/>
    <s v="Bikes"/>
    <s v="Mountain Bikes"/>
    <s v="Mountain-200 Black, 42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EB8B16-5FDE-4F80-9B52-846717825935}" name="PivotTable1" cacheId="5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 chartFormat="3">
  <location ref="A3:J14" firstHeaderRow="1" firstDataRow="2" firstDataCol="1"/>
  <pivotFields count="19">
    <pivotField showAll="0"/>
    <pivotField numFmtId="14" showAll="0"/>
    <pivotField showAll="0"/>
    <pivotField showAll="0"/>
    <pivotField showAll="0"/>
    <pivotField showAll="0"/>
    <pivotField axis="axisRow" showAll="0" sortType="descending">
      <items count="4">
        <item x="2"/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axis="axisCol" showAll="0">
      <items count="9">
        <item x="2"/>
        <item x="6"/>
        <item x="7"/>
        <item x="5"/>
        <item x="3"/>
        <item x="1"/>
        <item x="0"/>
        <item x="4"/>
        <item t="default"/>
      </items>
    </pivotField>
    <pivotField showAll="0"/>
    <pivotField showAll="0"/>
    <pivotField showAll="0"/>
    <pivotField showAll="0"/>
    <pivotField dataField="1" showAll="0"/>
    <pivotField numFmtId="8" showAll="0"/>
    <pivotField numFmtId="8" showAll="0"/>
    <pivotField numFmtId="8" showAll="0"/>
    <pivotField numFmtId="8" showAll="0"/>
    <pivotField numFmtId="8" showAll="0"/>
  </pivotFields>
  <rowFields count="2">
    <field x="6"/>
    <field x="7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8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Order_Quantity" fld="13" baseField="0" baseItem="0"/>
  </dataFields>
  <formats count="10">
    <format dxfId="109">
      <pivotArea type="all" dataOnly="0" outline="0" fieldPosition="0"/>
    </format>
    <format dxfId="108">
      <pivotArea outline="0" collapsedLevelsAreSubtotals="1" fieldPosition="0"/>
    </format>
    <format dxfId="107">
      <pivotArea type="origin" dataOnly="0" labelOnly="1" outline="0" fieldPosition="0"/>
    </format>
    <format dxfId="106">
      <pivotArea field="8" type="button" dataOnly="0" labelOnly="1" outline="0" axis="axisCol" fieldPosition="0"/>
    </format>
    <format dxfId="105">
      <pivotArea type="topRight" dataOnly="0" labelOnly="1" outline="0" fieldPosition="0"/>
    </format>
    <format dxfId="104">
      <pivotArea field="6" type="button" dataOnly="0" labelOnly="1" outline="0" axis="axisRow" fieldPosition="0"/>
    </format>
    <format dxfId="103">
      <pivotArea dataOnly="0" labelOnly="1" fieldPosition="0">
        <references count="1">
          <reference field="6" count="0"/>
        </references>
      </pivotArea>
    </format>
    <format dxfId="102">
      <pivotArea dataOnly="0" labelOnly="1" grandRow="1" outline="0" fieldPosition="0"/>
    </format>
    <format dxfId="101">
      <pivotArea dataOnly="0" labelOnly="1" fieldPosition="0">
        <references count="1">
          <reference field="8" count="0"/>
        </references>
      </pivotArea>
    </format>
    <format dxfId="100">
      <pivotArea dataOnly="0" labelOnly="1" grandCol="1" outline="0" fieldPosition="0"/>
    </format>
  </format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FAEAC2-267E-480E-B3BF-CECFB99DFEE5}" name="Table1" displayName="Table1" ref="A3:S33" totalsRowShown="0">
  <autoFilter ref="A3:S33" xr:uid="{43FAEAC2-267E-480E-B3BF-CECFB99DFEE5}"/>
  <tableColumns count="19">
    <tableColumn id="1" xr3:uid="{5F852438-BE1B-4D82-BD89-0DC9EA86F038}" name="Sales_Order #"/>
    <tableColumn id="2" xr3:uid="{5CC8F20E-EF9D-4D9A-B3D5-C46CA2F7F03C}" name="Date" dataDxfId="110"/>
    <tableColumn id="3" xr3:uid="{D57ED422-0B62-4156-9AF7-78F794B067BD}" name="Day"/>
    <tableColumn id="4" xr3:uid="{ABFA9D18-4CB8-4ACF-ADD5-0A22F755AF74}" name="Month"/>
    <tableColumn id="5" xr3:uid="{58692D7C-16A9-4168-A9D2-C5C93FC35836}" name="Year"/>
    <tableColumn id="6" xr3:uid="{5D4D7C81-FA76-4E84-B904-37C0BA979E4F}" name="Customer_Age"/>
    <tableColumn id="7" xr3:uid="{8F8B0B9D-0C95-421F-91E3-E7DCA5241B77}" name="Age_Group"/>
    <tableColumn id="8" xr3:uid="{07044BBA-2EC4-42E5-8CC9-546DE4D20749}" name="Customer_Gender"/>
    <tableColumn id="9" xr3:uid="{A979D216-0B67-4B1D-94DB-55FBCE96095F}" name="Country"/>
    <tableColumn id="10" xr3:uid="{0F6981B1-A1F5-436F-8DC8-23D18EEE4C24}" name="State"/>
    <tableColumn id="11" xr3:uid="{F15B9204-33D0-4F37-96A3-82AC261EDF5E}" name="Product_Category"/>
    <tableColumn id="12" xr3:uid="{C007C717-A268-48F5-926D-2B83B9BEB327}" name="Sub_Category"/>
    <tableColumn id="13" xr3:uid="{5995BF5B-BE76-4D99-AEF3-4E049B5CDC9E}" name="Product_Description"/>
    <tableColumn id="14" xr3:uid="{CA547124-4EF8-4942-8602-077A3B76160B}" name="Order_Quantity"/>
    <tableColumn id="15" xr3:uid="{C045D030-81BC-4F08-A674-EC41B1B2BF13}" name=" Unit_Cost "/>
    <tableColumn id="16" xr3:uid="{52C34312-4245-4E7D-AC41-A982444ED893}" name=" Unit_Price "/>
    <tableColumn id="17" xr3:uid="{68135468-9EED-43CB-A6EC-1EAF8E6E66F9}" name=" Profit "/>
    <tableColumn id="18" xr3:uid="{7258CC14-1009-4247-B51D-A618995F0FC6}" name=" Cost "/>
    <tableColumn id="19" xr3:uid="{82563F7E-EBCE-4FB8-8669-26A94A6C35AE}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AACF6-4D84-4476-A88E-01C5C3F76A93}">
  <dimension ref="A1:S33"/>
  <sheetViews>
    <sheetView workbookViewId="0">
      <selection activeCell="A3" sqref="A1:XFD1048576"/>
    </sheetView>
  </sheetViews>
  <sheetFormatPr defaultRowHeight="15" x14ac:dyDescent="0.25"/>
  <cols>
    <col min="1" max="1" width="15.5703125" bestFit="1" customWidth="1"/>
    <col min="2" max="2" width="10.7109375" bestFit="1" customWidth="1"/>
    <col min="3" max="3" width="9.28515625" bestFit="1" customWidth="1"/>
    <col min="4" max="4" width="10.140625" bestFit="1" customWidth="1"/>
    <col min="5" max="5" width="9.28515625" bestFit="1" customWidth="1"/>
    <col min="6" max="6" width="16.42578125" bestFit="1" customWidth="1"/>
    <col min="7" max="7" width="19.42578125" bestFit="1" customWidth="1"/>
    <col min="8" max="8" width="19.85546875" bestFit="1" customWidth="1"/>
    <col min="9" max="9" width="12.85546875" bestFit="1" customWidth="1"/>
    <col min="10" max="10" width="11.5703125" bestFit="1" customWidth="1"/>
    <col min="11" max="11" width="19.140625" bestFit="1" customWidth="1"/>
    <col min="12" max="12" width="15.5703125" bestFit="1" customWidth="1"/>
    <col min="13" max="13" width="24.7109375" bestFit="1" customWidth="1"/>
    <col min="14" max="14" width="17.28515625" bestFit="1" customWidth="1"/>
    <col min="15" max="15" width="12.85546875" bestFit="1" customWidth="1"/>
    <col min="16" max="16" width="13.42578125" bestFit="1" customWidth="1"/>
    <col min="17" max="18" width="9.28515625" bestFit="1" customWidth="1"/>
    <col min="19" max="19" width="11.140625" bestFit="1" customWidth="1"/>
  </cols>
  <sheetData>
    <row r="1" spans="1:19" x14ac:dyDescent="0.25">
      <c r="A1" s="4" t="s">
        <v>162</v>
      </c>
    </row>
    <row r="3" spans="1:19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</row>
    <row r="4" spans="1:19" x14ac:dyDescent="0.25">
      <c r="A4" t="s">
        <v>157</v>
      </c>
      <c r="B4" s="1">
        <v>44531</v>
      </c>
      <c r="C4">
        <v>1</v>
      </c>
      <c r="D4" t="s">
        <v>20</v>
      </c>
      <c r="E4">
        <v>2021</v>
      </c>
      <c r="F4">
        <v>39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>
        <v>4</v>
      </c>
      <c r="O4">
        <v>1252</v>
      </c>
      <c r="P4">
        <v>2295</v>
      </c>
      <c r="Q4">
        <v>4172</v>
      </c>
      <c r="R4">
        <v>5008</v>
      </c>
      <c r="S4">
        <v>9180</v>
      </c>
    </row>
    <row r="5" spans="1:19" x14ac:dyDescent="0.25">
      <c r="A5" t="s">
        <v>155</v>
      </c>
      <c r="B5" s="1">
        <v>44553</v>
      </c>
      <c r="C5">
        <v>23</v>
      </c>
      <c r="D5" t="s">
        <v>20</v>
      </c>
      <c r="E5">
        <v>2021</v>
      </c>
      <c r="F5">
        <v>35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72</v>
      </c>
      <c r="N5">
        <v>1</v>
      </c>
      <c r="O5">
        <v>295</v>
      </c>
      <c r="P5">
        <v>540</v>
      </c>
      <c r="Q5">
        <v>245</v>
      </c>
      <c r="R5">
        <v>295</v>
      </c>
      <c r="S5">
        <v>540</v>
      </c>
    </row>
    <row r="6" spans="1:19" x14ac:dyDescent="0.25">
      <c r="A6" t="s">
        <v>32</v>
      </c>
      <c r="B6" s="1">
        <v>44532</v>
      </c>
      <c r="C6">
        <v>2</v>
      </c>
      <c r="D6" t="s">
        <v>20</v>
      </c>
      <c r="E6">
        <v>2021</v>
      </c>
      <c r="F6">
        <v>37</v>
      </c>
      <c r="G6" t="s">
        <v>21</v>
      </c>
      <c r="H6" t="s">
        <v>28</v>
      </c>
      <c r="I6" t="s">
        <v>23</v>
      </c>
      <c r="J6" t="s">
        <v>24</v>
      </c>
      <c r="K6" t="s">
        <v>25</v>
      </c>
      <c r="L6" t="s">
        <v>26</v>
      </c>
      <c r="M6" t="s">
        <v>33</v>
      </c>
      <c r="N6">
        <v>2</v>
      </c>
      <c r="O6">
        <v>420</v>
      </c>
      <c r="P6">
        <v>769</v>
      </c>
      <c r="Q6">
        <v>698</v>
      </c>
      <c r="R6">
        <v>840</v>
      </c>
      <c r="S6">
        <v>1538</v>
      </c>
    </row>
    <row r="7" spans="1:19" x14ac:dyDescent="0.25">
      <c r="A7" t="s">
        <v>148</v>
      </c>
      <c r="B7" s="1">
        <v>44552</v>
      </c>
      <c r="C7">
        <v>22</v>
      </c>
      <c r="D7" t="s">
        <v>20</v>
      </c>
      <c r="E7">
        <v>2021</v>
      </c>
      <c r="F7">
        <v>41</v>
      </c>
      <c r="G7" t="s">
        <v>21</v>
      </c>
      <c r="H7" t="s">
        <v>28</v>
      </c>
      <c r="I7" t="s">
        <v>23</v>
      </c>
      <c r="J7" t="s">
        <v>24</v>
      </c>
      <c r="K7" t="s">
        <v>25</v>
      </c>
      <c r="L7" t="s">
        <v>26</v>
      </c>
      <c r="M7" t="s">
        <v>61</v>
      </c>
      <c r="N7">
        <v>3</v>
      </c>
      <c r="O7">
        <v>1252</v>
      </c>
      <c r="P7">
        <v>2295</v>
      </c>
      <c r="Q7">
        <v>3129</v>
      </c>
      <c r="R7">
        <v>3756</v>
      </c>
      <c r="S7">
        <v>6885</v>
      </c>
    </row>
    <row r="8" spans="1:19" x14ac:dyDescent="0.25">
      <c r="A8" t="s">
        <v>137</v>
      </c>
      <c r="B8" s="1">
        <v>44549</v>
      </c>
      <c r="C8">
        <v>19</v>
      </c>
      <c r="D8" t="s">
        <v>20</v>
      </c>
      <c r="E8">
        <v>2021</v>
      </c>
      <c r="F8">
        <v>39</v>
      </c>
      <c r="G8" t="s">
        <v>21</v>
      </c>
      <c r="H8" t="s">
        <v>22</v>
      </c>
      <c r="I8" t="s">
        <v>23</v>
      </c>
      <c r="J8" t="s">
        <v>46</v>
      </c>
      <c r="K8" t="s">
        <v>25</v>
      </c>
      <c r="L8" t="s">
        <v>26</v>
      </c>
      <c r="M8" t="s">
        <v>54</v>
      </c>
      <c r="N8">
        <v>1</v>
      </c>
      <c r="O8">
        <v>1266</v>
      </c>
      <c r="P8">
        <v>2320</v>
      </c>
      <c r="Q8">
        <v>1054</v>
      </c>
      <c r="R8">
        <v>1266</v>
      </c>
      <c r="S8">
        <v>2320</v>
      </c>
    </row>
    <row r="9" spans="1:19" x14ac:dyDescent="0.25">
      <c r="A9" t="s">
        <v>131</v>
      </c>
      <c r="B9" s="1">
        <v>44549</v>
      </c>
      <c r="C9">
        <v>19</v>
      </c>
      <c r="D9" t="s">
        <v>20</v>
      </c>
      <c r="E9">
        <v>2021</v>
      </c>
      <c r="F9">
        <v>39</v>
      </c>
      <c r="G9" t="s">
        <v>21</v>
      </c>
      <c r="H9" t="s">
        <v>22</v>
      </c>
      <c r="I9" t="s">
        <v>23</v>
      </c>
      <c r="J9" t="s">
        <v>24</v>
      </c>
      <c r="K9" t="s">
        <v>25</v>
      </c>
      <c r="L9" t="s">
        <v>26</v>
      </c>
      <c r="M9" t="s">
        <v>27</v>
      </c>
      <c r="N9">
        <v>4</v>
      </c>
      <c r="O9">
        <v>1252</v>
      </c>
      <c r="P9">
        <v>2295</v>
      </c>
      <c r="Q9">
        <v>4172</v>
      </c>
      <c r="R9">
        <v>5008</v>
      </c>
      <c r="S9">
        <v>9180</v>
      </c>
    </row>
    <row r="10" spans="1:19" x14ac:dyDescent="0.25">
      <c r="A10" t="s">
        <v>48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>
        <v>4</v>
      </c>
      <c r="O10">
        <v>1252</v>
      </c>
      <c r="P10">
        <v>2295</v>
      </c>
      <c r="Q10">
        <v>4172</v>
      </c>
      <c r="R10">
        <v>5008</v>
      </c>
      <c r="S10">
        <v>9180</v>
      </c>
    </row>
    <row r="11" spans="1:19" x14ac:dyDescent="0.25">
      <c r="A11" t="s">
        <v>130</v>
      </c>
      <c r="B11" s="1">
        <v>44549</v>
      </c>
      <c r="C11">
        <v>19</v>
      </c>
      <c r="D11" t="s">
        <v>20</v>
      </c>
      <c r="E11">
        <v>2021</v>
      </c>
      <c r="F11">
        <v>37</v>
      </c>
      <c r="G11" t="s">
        <v>21</v>
      </c>
      <c r="H11" t="s">
        <v>28</v>
      </c>
      <c r="I11" t="s">
        <v>23</v>
      </c>
      <c r="J11" t="s">
        <v>70</v>
      </c>
      <c r="K11" t="s">
        <v>25</v>
      </c>
      <c r="L11" t="s">
        <v>26</v>
      </c>
      <c r="M11" t="s">
        <v>43</v>
      </c>
      <c r="N11">
        <v>4</v>
      </c>
      <c r="O11">
        <v>1252</v>
      </c>
      <c r="P11">
        <v>2295</v>
      </c>
      <c r="Q11">
        <v>4172</v>
      </c>
      <c r="R11">
        <v>5008</v>
      </c>
      <c r="S11">
        <v>9180</v>
      </c>
    </row>
    <row r="12" spans="1:19" x14ac:dyDescent="0.25">
      <c r="A12" t="s">
        <v>128</v>
      </c>
      <c r="B12" s="1">
        <v>44549</v>
      </c>
      <c r="C12">
        <v>19</v>
      </c>
      <c r="D12" t="s">
        <v>20</v>
      </c>
      <c r="E12">
        <v>2021</v>
      </c>
      <c r="F12">
        <v>35</v>
      </c>
      <c r="G12" t="s">
        <v>21</v>
      </c>
      <c r="H12" t="s">
        <v>22</v>
      </c>
      <c r="I12" t="s">
        <v>23</v>
      </c>
      <c r="J12" t="s">
        <v>70</v>
      </c>
      <c r="K12" t="s">
        <v>25</v>
      </c>
      <c r="L12" t="s">
        <v>26</v>
      </c>
      <c r="M12" t="s">
        <v>129</v>
      </c>
      <c r="N12">
        <v>4</v>
      </c>
      <c r="O12">
        <v>1898</v>
      </c>
      <c r="P12">
        <v>3375</v>
      </c>
      <c r="Q12">
        <v>5908</v>
      </c>
      <c r="R12">
        <v>7592</v>
      </c>
      <c r="S12">
        <v>13500</v>
      </c>
    </row>
    <row r="13" spans="1:19" x14ac:dyDescent="0.25">
      <c r="A13" t="s">
        <v>55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t="s">
        <v>27</v>
      </c>
      <c r="N13">
        <v>1</v>
      </c>
      <c r="O13">
        <v>1252</v>
      </c>
      <c r="P13">
        <v>2295</v>
      </c>
      <c r="Q13">
        <v>1043</v>
      </c>
      <c r="R13">
        <v>1252</v>
      </c>
      <c r="S13">
        <v>2295</v>
      </c>
    </row>
    <row r="14" spans="1:19" x14ac:dyDescent="0.25">
      <c r="A14" t="s">
        <v>122</v>
      </c>
      <c r="B14" s="1">
        <v>44548</v>
      </c>
      <c r="C14">
        <v>18</v>
      </c>
      <c r="D14" t="s">
        <v>20</v>
      </c>
      <c r="E14">
        <v>2021</v>
      </c>
      <c r="F14">
        <v>36</v>
      </c>
      <c r="G14" t="s">
        <v>21</v>
      </c>
      <c r="H14" t="s">
        <v>28</v>
      </c>
      <c r="I14" t="s">
        <v>23</v>
      </c>
      <c r="J14" t="s">
        <v>46</v>
      </c>
      <c r="K14" t="s">
        <v>25</v>
      </c>
      <c r="L14" t="s">
        <v>26</v>
      </c>
      <c r="M14" t="s">
        <v>54</v>
      </c>
      <c r="N14">
        <v>1</v>
      </c>
      <c r="O14">
        <v>1266</v>
      </c>
      <c r="P14">
        <v>2320</v>
      </c>
      <c r="Q14">
        <v>1054</v>
      </c>
      <c r="R14">
        <v>1266</v>
      </c>
      <c r="S14">
        <v>2320</v>
      </c>
    </row>
    <row r="15" spans="1:19" x14ac:dyDescent="0.25">
      <c r="A15" t="s">
        <v>120</v>
      </c>
      <c r="B15" s="1">
        <v>44548</v>
      </c>
      <c r="C15">
        <v>18</v>
      </c>
      <c r="D15" t="s">
        <v>20</v>
      </c>
      <c r="E15">
        <v>2021</v>
      </c>
      <c r="F15">
        <v>39</v>
      </c>
      <c r="G15" t="s">
        <v>21</v>
      </c>
      <c r="H15" t="s">
        <v>28</v>
      </c>
      <c r="I15" t="s">
        <v>23</v>
      </c>
      <c r="J15" t="s">
        <v>24</v>
      </c>
      <c r="K15" t="s">
        <v>25</v>
      </c>
      <c r="L15" t="s">
        <v>26</v>
      </c>
      <c r="M15" t="s">
        <v>61</v>
      </c>
      <c r="N15">
        <v>3</v>
      </c>
      <c r="O15">
        <v>1252</v>
      </c>
      <c r="P15">
        <v>2295</v>
      </c>
      <c r="Q15">
        <v>3129</v>
      </c>
      <c r="R15">
        <v>3756</v>
      </c>
      <c r="S15">
        <v>6885</v>
      </c>
    </row>
    <row r="16" spans="1:19" x14ac:dyDescent="0.25">
      <c r="A16" t="s">
        <v>112</v>
      </c>
      <c r="B16" s="1">
        <v>44547</v>
      </c>
      <c r="C16">
        <v>17</v>
      </c>
      <c r="D16" t="s">
        <v>20</v>
      </c>
      <c r="E16">
        <v>2021</v>
      </c>
      <c r="F16">
        <v>37</v>
      </c>
      <c r="G16" t="s">
        <v>21</v>
      </c>
      <c r="H16" t="s">
        <v>22</v>
      </c>
      <c r="I16" t="s">
        <v>23</v>
      </c>
      <c r="J16" t="s">
        <v>46</v>
      </c>
      <c r="K16" t="s">
        <v>25</v>
      </c>
      <c r="L16" t="s">
        <v>26</v>
      </c>
      <c r="M16" t="s">
        <v>54</v>
      </c>
      <c r="N16">
        <v>2</v>
      </c>
      <c r="O16">
        <v>1266</v>
      </c>
      <c r="P16">
        <v>2320</v>
      </c>
      <c r="Q16">
        <v>2108</v>
      </c>
      <c r="R16">
        <v>2532</v>
      </c>
      <c r="S16">
        <v>4640</v>
      </c>
    </row>
    <row r="17" spans="1:19" x14ac:dyDescent="0.25">
      <c r="A17" t="s">
        <v>65</v>
      </c>
      <c r="B17" s="1">
        <v>44537</v>
      </c>
      <c r="C17">
        <v>7</v>
      </c>
      <c r="D17" t="s">
        <v>20</v>
      </c>
      <c r="E17">
        <v>2021</v>
      </c>
      <c r="F17">
        <v>38</v>
      </c>
      <c r="G17" t="s">
        <v>21</v>
      </c>
      <c r="H17" t="s">
        <v>28</v>
      </c>
      <c r="I17" t="s">
        <v>23</v>
      </c>
      <c r="J17" t="s">
        <v>24</v>
      </c>
      <c r="K17" t="s">
        <v>25</v>
      </c>
      <c r="L17" t="s">
        <v>26</v>
      </c>
      <c r="M17" t="s">
        <v>31</v>
      </c>
      <c r="N17">
        <v>2</v>
      </c>
      <c r="O17">
        <v>1266</v>
      </c>
      <c r="P17">
        <v>2320</v>
      </c>
      <c r="Q17">
        <v>2108</v>
      </c>
      <c r="R17">
        <v>2532</v>
      </c>
      <c r="S17">
        <v>4640</v>
      </c>
    </row>
    <row r="18" spans="1:19" x14ac:dyDescent="0.25">
      <c r="A18" t="s">
        <v>69</v>
      </c>
      <c r="B18" s="1">
        <v>44538</v>
      </c>
      <c r="C18">
        <v>8</v>
      </c>
      <c r="D18" t="s">
        <v>20</v>
      </c>
      <c r="E18">
        <v>2021</v>
      </c>
      <c r="F18">
        <v>39</v>
      </c>
      <c r="G18" t="s">
        <v>21</v>
      </c>
      <c r="H18" t="s">
        <v>22</v>
      </c>
      <c r="I18" t="s">
        <v>23</v>
      </c>
      <c r="J18" t="s">
        <v>70</v>
      </c>
      <c r="K18" t="s">
        <v>25</v>
      </c>
      <c r="L18" t="s">
        <v>26</v>
      </c>
      <c r="M18" t="s">
        <v>72</v>
      </c>
      <c r="N18">
        <v>2</v>
      </c>
      <c r="O18">
        <v>1252</v>
      </c>
      <c r="P18">
        <v>2295</v>
      </c>
      <c r="Q18">
        <v>2086</v>
      </c>
      <c r="R18">
        <v>2504</v>
      </c>
      <c r="S18">
        <v>4590</v>
      </c>
    </row>
    <row r="19" spans="1:19" x14ac:dyDescent="0.25">
      <c r="A19" t="s">
        <v>71</v>
      </c>
      <c r="B19" s="1">
        <v>44538</v>
      </c>
      <c r="C19">
        <v>8</v>
      </c>
      <c r="D19" t="s">
        <v>20</v>
      </c>
      <c r="E19">
        <v>2021</v>
      </c>
      <c r="F19">
        <v>35</v>
      </c>
      <c r="G19" t="s">
        <v>21</v>
      </c>
      <c r="H19" t="s">
        <v>22</v>
      </c>
      <c r="I19" t="s">
        <v>23</v>
      </c>
      <c r="J19" t="s">
        <v>24</v>
      </c>
      <c r="K19" t="s">
        <v>25</v>
      </c>
      <c r="L19" t="s">
        <v>26</v>
      </c>
      <c r="M19" t="s">
        <v>72</v>
      </c>
      <c r="N19">
        <v>1</v>
      </c>
      <c r="O19">
        <v>295</v>
      </c>
      <c r="P19">
        <v>540</v>
      </c>
      <c r="Q19">
        <v>245</v>
      </c>
      <c r="R19">
        <v>295</v>
      </c>
      <c r="S19">
        <v>540</v>
      </c>
    </row>
    <row r="20" spans="1:19" x14ac:dyDescent="0.25">
      <c r="A20" t="s">
        <v>99</v>
      </c>
      <c r="B20" s="1">
        <v>44543</v>
      </c>
      <c r="C20">
        <v>13</v>
      </c>
      <c r="D20" t="s">
        <v>20</v>
      </c>
      <c r="E20">
        <v>2021</v>
      </c>
      <c r="F20">
        <v>40</v>
      </c>
      <c r="G20" t="s">
        <v>21</v>
      </c>
      <c r="H20" t="s">
        <v>22</v>
      </c>
      <c r="I20" t="s">
        <v>23</v>
      </c>
      <c r="J20" t="s">
        <v>24</v>
      </c>
      <c r="K20" t="s">
        <v>25</v>
      </c>
      <c r="L20" t="s">
        <v>26</v>
      </c>
      <c r="M20" t="s">
        <v>100</v>
      </c>
      <c r="N20">
        <v>1</v>
      </c>
      <c r="O20">
        <v>308</v>
      </c>
      <c r="P20">
        <v>565</v>
      </c>
      <c r="Q20">
        <v>257</v>
      </c>
      <c r="R20">
        <v>308</v>
      </c>
      <c r="S20">
        <v>565</v>
      </c>
    </row>
    <row r="21" spans="1:19" x14ac:dyDescent="0.25">
      <c r="A21" t="s">
        <v>97</v>
      </c>
      <c r="B21" s="1">
        <v>44542</v>
      </c>
      <c r="C21">
        <v>12</v>
      </c>
      <c r="D21" t="s">
        <v>20</v>
      </c>
      <c r="E21">
        <v>2021</v>
      </c>
      <c r="F21">
        <v>38</v>
      </c>
      <c r="G21" t="s">
        <v>21</v>
      </c>
      <c r="H21" t="s">
        <v>22</v>
      </c>
      <c r="I21" t="s">
        <v>23</v>
      </c>
      <c r="J21" t="s">
        <v>46</v>
      </c>
      <c r="K21" t="s">
        <v>25</v>
      </c>
      <c r="L21" t="s">
        <v>26</v>
      </c>
      <c r="M21" t="s">
        <v>31</v>
      </c>
      <c r="N21">
        <v>1</v>
      </c>
      <c r="O21">
        <v>1266</v>
      </c>
      <c r="P21">
        <v>2320</v>
      </c>
      <c r="Q21">
        <v>1054</v>
      </c>
      <c r="R21">
        <v>1266</v>
      </c>
      <c r="S21">
        <v>2320</v>
      </c>
    </row>
    <row r="22" spans="1:19" x14ac:dyDescent="0.25">
      <c r="A22" t="s">
        <v>94</v>
      </c>
      <c r="B22" s="1">
        <v>44542</v>
      </c>
      <c r="C22">
        <v>12</v>
      </c>
      <c r="D22" t="s">
        <v>20</v>
      </c>
      <c r="E22">
        <v>2021</v>
      </c>
      <c r="F22">
        <v>37</v>
      </c>
      <c r="G22" t="s">
        <v>21</v>
      </c>
      <c r="H22" t="s">
        <v>28</v>
      </c>
      <c r="I22" t="s">
        <v>23</v>
      </c>
      <c r="J22" t="s">
        <v>24</v>
      </c>
      <c r="K22" t="s">
        <v>25</v>
      </c>
      <c r="L22" t="s">
        <v>26</v>
      </c>
      <c r="M22" t="s">
        <v>33</v>
      </c>
      <c r="N22">
        <v>4</v>
      </c>
      <c r="O22">
        <v>420</v>
      </c>
      <c r="P22">
        <v>769</v>
      </c>
      <c r="Q22">
        <v>1396</v>
      </c>
      <c r="R22">
        <v>1680</v>
      </c>
      <c r="S22">
        <v>3076</v>
      </c>
    </row>
    <row r="23" spans="1:19" x14ac:dyDescent="0.25">
      <c r="A23" t="s">
        <v>92</v>
      </c>
      <c r="B23" s="1">
        <v>44541</v>
      </c>
      <c r="C23">
        <v>11</v>
      </c>
      <c r="D23" t="s">
        <v>20</v>
      </c>
      <c r="E23">
        <v>2021</v>
      </c>
      <c r="F23">
        <v>38</v>
      </c>
      <c r="G23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t="s">
        <v>54</v>
      </c>
      <c r="N23">
        <v>1</v>
      </c>
      <c r="O23">
        <v>1266</v>
      </c>
      <c r="P23">
        <v>2320</v>
      </c>
      <c r="Q23">
        <v>1054</v>
      </c>
      <c r="R23">
        <v>1266</v>
      </c>
      <c r="S23">
        <v>2320</v>
      </c>
    </row>
    <row r="24" spans="1:19" x14ac:dyDescent="0.25">
      <c r="A24" t="s">
        <v>91</v>
      </c>
      <c r="B24" s="1">
        <v>44541</v>
      </c>
      <c r="C24">
        <v>11</v>
      </c>
      <c r="D24" t="s">
        <v>20</v>
      </c>
      <c r="E24">
        <v>2021</v>
      </c>
      <c r="F24">
        <v>37</v>
      </c>
      <c r="G24" t="s">
        <v>21</v>
      </c>
      <c r="H24" t="s">
        <v>28</v>
      </c>
      <c r="I24" t="s">
        <v>23</v>
      </c>
      <c r="J24" t="s">
        <v>24</v>
      </c>
      <c r="K24" t="s">
        <v>25</v>
      </c>
      <c r="L24" t="s">
        <v>26</v>
      </c>
      <c r="M24" t="s">
        <v>33</v>
      </c>
      <c r="N24">
        <v>1</v>
      </c>
      <c r="O24">
        <v>420</v>
      </c>
      <c r="P24">
        <v>769</v>
      </c>
      <c r="Q24">
        <v>349</v>
      </c>
      <c r="R24">
        <v>420</v>
      </c>
      <c r="S24">
        <v>769</v>
      </c>
    </row>
    <row r="25" spans="1:19" x14ac:dyDescent="0.25">
      <c r="A25" t="s">
        <v>153</v>
      </c>
      <c r="B25" s="1">
        <v>44553</v>
      </c>
      <c r="C25">
        <v>23</v>
      </c>
      <c r="D25" t="s">
        <v>20</v>
      </c>
      <c r="E25">
        <v>2021</v>
      </c>
      <c r="F25">
        <v>30</v>
      </c>
      <c r="G25" t="s">
        <v>35</v>
      </c>
      <c r="H25" t="s">
        <v>22</v>
      </c>
      <c r="I25" t="s">
        <v>23</v>
      </c>
      <c r="J25" t="s">
        <v>70</v>
      </c>
      <c r="K25" t="s">
        <v>25</v>
      </c>
      <c r="L25" t="s">
        <v>26</v>
      </c>
      <c r="M25" t="s">
        <v>31</v>
      </c>
      <c r="N25">
        <v>1</v>
      </c>
      <c r="O25">
        <v>1266</v>
      </c>
      <c r="P25">
        <v>2320</v>
      </c>
      <c r="Q25">
        <v>1054</v>
      </c>
      <c r="R25">
        <v>1266</v>
      </c>
      <c r="S25">
        <v>2320</v>
      </c>
    </row>
    <row r="26" spans="1:19" x14ac:dyDescent="0.25">
      <c r="A26" t="s">
        <v>147</v>
      </c>
      <c r="B26" s="1">
        <v>44552</v>
      </c>
      <c r="C26">
        <v>22</v>
      </c>
      <c r="D26" t="s">
        <v>20</v>
      </c>
      <c r="E26">
        <v>2021</v>
      </c>
      <c r="F26">
        <v>30</v>
      </c>
      <c r="G26" t="s">
        <v>35</v>
      </c>
      <c r="H26" t="s">
        <v>22</v>
      </c>
      <c r="I26" t="s">
        <v>23</v>
      </c>
      <c r="J26" t="s">
        <v>46</v>
      </c>
      <c r="K26" t="s">
        <v>25</v>
      </c>
      <c r="L26" t="s">
        <v>26</v>
      </c>
      <c r="M26" t="s">
        <v>54</v>
      </c>
      <c r="N26">
        <v>3</v>
      </c>
      <c r="O26">
        <v>1266</v>
      </c>
      <c r="P26">
        <v>2320</v>
      </c>
      <c r="Q26">
        <v>3162</v>
      </c>
      <c r="R26">
        <v>3798</v>
      </c>
      <c r="S26">
        <v>6960</v>
      </c>
    </row>
    <row r="27" spans="1:19" x14ac:dyDescent="0.25">
      <c r="A27" t="s">
        <v>106</v>
      </c>
      <c r="B27" s="1">
        <v>44545</v>
      </c>
      <c r="C27">
        <v>15</v>
      </c>
      <c r="D27" t="s">
        <v>20</v>
      </c>
      <c r="E27">
        <v>2021</v>
      </c>
      <c r="F27">
        <v>29</v>
      </c>
      <c r="G27" t="s">
        <v>35</v>
      </c>
      <c r="H27" t="s">
        <v>22</v>
      </c>
      <c r="I27" t="s">
        <v>23</v>
      </c>
      <c r="J27" t="s">
        <v>24</v>
      </c>
      <c r="K27" t="s">
        <v>25</v>
      </c>
      <c r="L27" t="s">
        <v>26</v>
      </c>
      <c r="M27" t="s">
        <v>31</v>
      </c>
      <c r="N27">
        <v>1</v>
      </c>
      <c r="O27">
        <v>1266</v>
      </c>
      <c r="P27">
        <v>2320</v>
      </c>
      <c r="Q27">
        <v>1054</v>
      </c>
      <c r="R27">
        <v>1266</v>
      </c>
      <c r="S27">
        <v>2320</v>
      </c>
    </row>
    <row r="28" spans="1:19" x14ac:dyDescent="0.25">
      <c r="A28" t="s">
        <v>63</v>
      </c>
      <c r="B28" s="1">
        <v>44537</v>
      </c>
      <c r="C28">
        <v>7</v>
      </c>
      <c r="D28" t="s">
        <v>20</v>
      </c>
      <c r="E28">
        <v>2021</v>
      </c>
      <c r="F28">
        <v>30</v>
      </c>
      <c r="G28" t="s">
        <v>35</v>
      </c>
      <c r="H28" t="s">
        <v>28</v>
      </c>
      <c r="I28" t="s">
        <v>23</v>
      </c>
      <c r="J28" t="s">
        <v>24</v>
      </c>
      <c r="K28" t="s">
        <v>25</v>
      </c>
      <c r="L28" t="s">
        <v>26</v>
      </c>
      <c r="M28" t="s">
        <v>64</v>
      </c>
      <c r="N28">
        <v>4</v>
      </c>
      <c r="O28">
        <v>420</v>
      </c>
      <c r="P28">
        <v>769</v>
      </c>
      <c r="Q28">
        <v>1396</v>
      </c>
      <c r="R28">
        <v>1680</v>
      </c>
      <c r="S28">
        <v>3076</v>
      </c>
    </row>
    <row r="29" spans="1:19" x14ac:dyDescent="0.25">
      <c r="A29" t="s">
        <v>104</v>
      </c>
      <c r="B29" s="1">
        <v>44544</v>
      </c>
      <c r="C29">
        <v>14</v>
      </c>
      <c r="D29" t="s">
        <v>20</v>
      </c>
      <c r="E29">
        <v>2021</v>
      </c>
      <c r="F29">
        <v>32</v>
      </c>
      <c r="G29" t="s">
        <v>35</v>
      </c>
      <c r="H29" t="s">
        <v>28</v>
      </c>
      <c r="I29" t="s">
        <v>23</v>
      </c>
      <c r="J29" t="s">
        <v>24</v>
      </c>
      <c r="K29" t="s">
        <v>25</v>
      </c>
      <c r="L29" t="s">
        <v>26</v>
      </c>
      <c r="M29" t="s">
        <v>27</v>
      </c>
      <c r="N29">
        <v>1</v>
      </c>
      <c r="O29">
        <v>1252</v>
      </c>
      <c r="P29">
        <v>2295</v>
      </c>
      <c r="Q29">
        <v>1043</v>
      </c>
      <c r="R29">
        <v>1252</v>
      </c>
      <c r="S29">
        <v>2295</v>
      </c>
    </row>
    <row r="30" spans="1:19" x14ac:dyDescent="0.25">
      <c r="A30" t="s">
        <v>103</v>
      </c>
      <c r="B30" s="1">
        <v>44544</v>
      </c>
      <c r="C30">
        <v>14</v>
      </c>
      <c r="D30" t="s">
        <v>20</v>
      </c>
      <c r="E30">
        <v>2021</v>
      </c>
      <c r="F30">
        <v>30</v>
      </c>
      <c r="G30" t="s">
        <v>35</v>
      </c>
      <c r="H30" t="s">
        <v>22</v>
      </c>
      <c r="I30" t="s">
        <v>23</v>
      </c>
      <c r="J30" t="s">
        <v>46</v>
      </c>
      <c r="K30" t="s">
        <v>25</v>
      </c>
      <c r="L30" t="s">
        <v>26</v>
      </c>
      <c r="M30" t="s">
        <v>54</v>
      </c>
      <c r="N30">
        <v>2</v>
      </c>
      <c r="O30">
        <v>1266</v>
      </c>
      <c r="P30">
        <v>2320</v>
      </c>
      <c r="Q30">
        <v>2108</v>
      </c>
      <c r="R30">
        <v>2532</v>
      </c>
      <c r="S30">
        <v>4640</v>
      </c>
    </row>
    <row r="31" spans="1:19" x14ac:dyDescent="0.25">
      <c r="A31" t="s">
        <v>78</v>
      </c>
      <c r="B31" s="1">
        <v>44540</v>
      </c>
      <c r="C31">
        <v>10</v>
      </c>
      <c r="D31" t="s">
        <v>20</v>
      </c>
      <c r="E31">
        <v>2021</v>
      </c>
      <c r="F31">
        <v>34</v>
      </c>
      <c r="G31" t="s">
        <v>35</v>
      </c>
      <c r="H31" t="s">
        <v>22</v>
      </c>
      <c r="I31" t="s">
        <v>23</v>
      </c>
      <c r="J31" t="s">
        <v>24</v>
      </c>
      <c r="K31" t="s">
        <v>25</v>
      </c>
      <c r="L31" t="s">
        <v>26</v>
      </c>
      <c r="M31" t="s">
        <v>61</v>
      </c>
      <c r="N31">
        <v>2</v>
      </c>
      <c r="O31">
        <v>1252</v>
      </c>
      <c r="P31">
        <v>2295</v>
      </c>
      <c r="Q31">
        <v>2086</v>
      </c>
      <c r="R31">
        <v>2504</v>
      </c>
      <c r="S31">
        <v>4590</v>
      </c>
    </row>
    <row r="32" spans="1:19" x14ac:dyDescent="0.25">
      <c r="A32" t="s">
        <v>81</v>
      </c>
      <c r="B32" s="1">
        <v>44540</v>
      </c>
      <c r="C32">
        <v>10</v>
      </c>
      <c r="D32" t="s">
        <v>20</v>
      </c>
      <c r="E32">
        <v>2021</v>
      </c>
      <c r="F32">
        <v>34</v>
      </c>
      <c r="G32" t="s">
        <v>35</v>
      </c>
      <c r="H32" t="s">
        <v>28</v>
      </c>
      <c r="I32" t="s">
        <v>23</v>
      </c>
      <c r="J32" t="s">
        <v>24</v>
      </c>
      <c r="K32" t="s">
        <v>25</v>
      </c>
      <c r="L32" t="s">
        <v>26</v>
      </c>
      <c r="M32" t="s">
        <v>82</v>
      </c>
      <c r="N32">
        <v>1</v>
      </c>
      <c r="O32">
        <v>295</v>
      </c>
      <c r="P32">
        <v>540</v>
      </c>
      <c r="Q32">
        <v>245</v>
      </c>
      <c r="R32">
        <v>295</v>
      </c>
      <c r="S32">
        <v>540</v>
      </c>
    </row>
    <row r="33" spans="1:19" x14ac:dyDescent="0.25">
      <c r="A33" t="s">
        <v>83</v>
      </c>
      <c r="B33" s="1">
        <v>44540</v>
      </c>
      <c r="C33">
        <v>10</v>
      </c>
      <c r="D33" t="s">
        <v>20</v>
      </c>
      <c r="E33">
        <v>2021</v>
      </c>
      <c r="F33">
        <v>34</v>
      </c>
      <c r="G33" t="s">
        <v>35</v>
      </c>
      <c r="H33" t="s">
        <v>22</v>
      </c>
      <c r="I33" t="s">
        <v>23</v>
      </c>
      <c r="J33" t="s">
        <v>46</v>
      </c>
      <c r="K33" t="s">
        <v>25</v>
      </c>
      <c r="L33" t="s">
        <v>26</v>
      </c>
      <c r="M33" t="s">
        <v>84</v>
      </c>
      <c r="N33">
        <v>1</v>
      </c>
      <c r="O33">
        <v>1912</v>
      </c>
      <c r="P33">
        <v>3400</v>
      </c>
      <c r="Q33">
        <v>1488</v>
      </c>
      <c r="R33">
        <v>1912</v>
      </c>
      <c r="S33">
        <v>3400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ABA38-2989-401F-ADF1-21F2BDB80DDD}">
  <dimension ref="A3:J14"/>
  <sheetViews>
    <sheetView tabSelected="1" workbookViewId="0">
      <selection activeCell="I23" sqref="I23"/>
    </sheetView>
  </sheetViews>
  <sheetFormatPr defaultRowHeight="15" x14ac:dyDescent="0.25"/>
  <cols>
    <col min="1" max="1" width="21.85546875" bestFit="1" customWidth="1"/>
    <col min="2" max="2" width="18.5703125" bestFit="1" customWidth="1"/>
    <col min="3" max="3" width="7.42578125" bestFit="1" customWidth="1"/>
    <col min="4" max="4" width="6.85546875" bestFit="1" customWidth="1"/>
    <col min="6" max="6" width="13.5703125" bestFit="1" customWidth="1"/>
    <col min="7" max="7" width="15.5703125" bestFit="1" customWidth="1"/>
    <col min="8" max="8" width="13.140625" bestFit="1" customWidth="1"/>
    <col min="9" max="9" width="13.5703125" bestFit="1" customWidth="1"/>
    <col min="10" max="10" width="11.28515625" bestFit="1" customWidth="1"/>
  </cols>
  <sheetData>
    <row r="3" spans="1:10" x14ac:dyDescent="0.25">
      <c r="A3" s="9" t="s">
        <v>160</v>
      </c>
      <c r="B3" s="9" t="s">
        <v>161</v>
      </c>
      <c r="C3" s="10"/>
      <c r="D3" s="10"/>
      <c r="E3" s="10"/>
      <c r="F3" s="10"/>
      <c r="G3" s="10"/>
      <c r="H3" s="10"/>
      <c r="I3" s="10"/>
      <c r="J3" s="10"/>
    </row>
    <row r="4" spans="1:10" x14ac:dyDescent="0.25">
      <c r="A4" s="9" t="s">
        <v>158</v>
      </c>
      <c r="B4" s="10" t="s">
        <v>36</v>
      </c>
      <c r="C4" s="10" t="s">
        <v>58</v>
      </c>
      <c r="D4" s="10" t="s">
        <v>87</v>
      </c>
      <c r="E4" s="10" t="s">
        <v>50</v>
      </c>
      <c r="F4" s="10" t="s">
        <v>40</v>
      </c>
      <c r="G4" s="10" t="s">
        <v>29</v>
      </c>
      <c r="H4" s="10" t="s">
        <v>23</v>
      </c>
      <c r="I4" s="10" t="s">
        <v>45</v>
      </c>
      <c r="J4" s="10" t="s">
        <v>159</v>
      </c>
    </row>
    <row r="5" spans="1:10" x14ac:dyDescent="0.25">
      <c r="A5" s="10" t="s">
        <v>42</v>
      </c>
      <c r="B5" s="11">
        <v>11</v>
      </c>
      <c r="C5" s="11">
        <v>0</v>
      </c>
      <c r="D5" s="11">
        <v>10</v>
      </c>
      <c r="E5" s="11">
        <v>0</v>
      </c>
      <c r="F5" s="11">
        <v>0</v>
      </c>
      <c r="G5" s="11">
        <v>6</v>
      </c>
      <c r="H5" s="11">
        <v>0</v>
      </c>
      <c r="I5" s="11">
        <v>0</v>
      </c>
      <c r="J5" s="11">
        <v>27</v>
      </c>
    </row>
    <row r="6" spans="1:10" x14ac:dyDescent="0.25">
      <c r="A6" s="12" t="s">
        <v>22</v>
      </c>
      <c r="B6" s="11">
        <v>9</v>
      </c>
      <c r="C6" s="11">
        <v>0</v>
      </c>
      <c r="D6" s="11">
        <v>6</v>
      </c>
      <c r="E6" s="11">
        <v>0</v>
      </c>
      <c r="F6" s="11">
        <v>0</v>
      </c>
      <c r="G6" s="11">
        <v>1</v>
      </c>
      <c r="H6" s="11">
        <v>0</v>
      </c>
      <c r="I6" s="11">
        <v>0</v>
      </c>
      <c r="J6" s="11">
        <v>16</v>
      </c>
    </row>
    <row r="7" spans="1:10" x14ac:dyDescent="0.25">
      <c r="A7" s="12" t="s">
        <v>28</v>
      </c>
      <c r="B7" s="11">
        <v>2</v>
      </c>
      <c r="C7" s="11">
        <v>0</v>
      </c>
      <c r="D7" s="11">
        <v>4</v>
      </c>
      <c r="E7" s="11">
        <v>0</v>
      </c>
      <c r="F7" s="11">
        <v>0</v>
      </c>
      <c r="G7" s="11">
        <v>5</v>
      </c>
      <c r="H7" s="11">
        <v>0</v>
      </c>
      <c r="I7" s="11">
        <v>0</v>
      </c>
      <c r="J7" s="11">
        <v>11</v>
      </c>
    </row>
    <row r="8" spans="1:10" x14ac:dyDescent="0.25">
      <c r="A8" s="10" t="s">
        <v>35</v>
      </c>
      <c r="B8" s="11">
        <v>20</v>
      </c>
      <c r="C8" s="11">
        <v>11</v>
      </c>
      <c r="D8" s="11">
        <v>10</v>
      </c>
      <c r="E8" s="11">
        <v>0</v>
      </c>
      <c r="F8" s="11">
        <v>0</v>
      </c>
      <c r="G8" s="11">
        <v>4</v>
      </c>
      <c r="H8" s="11">
        <v>16</v>
      </c>
      <c r="I8" s="11">
        <v>0</v>
      </c>
      <c r="J8" s="11">
        <v>61</v>
      </c>
    </row>
    <row r="9" spans="1:10" x14ac:dyDescent="0.25">
      <c r="A9" s="12" t="s">
        <v>22</v>
      </c>
      <c r="B9" s="11">
        <v>17</v>
      </c>
      <c r="C9" s="11">
        <v>6</v>
      </c>
      <c r="D9" s="11">
        <v>1</v>
      </c>
      <c r="E9" s="11">
        <v>0</v>
      </c>
      <c r="F9" s="11">
        <v>0</v>
      </c>
      <c r="G9" s="11">
        <v>3</v>
      </c>
      <c r="H9" s="11">
        <v>10</v>
      </c>
      <c r="I9" s="11">
        <v>0</v>
      </c>
      <c r="J9" s="11">
        <v>37</v>
      </c>
    </row>
    <row r="10" spans="1:10" x14ac:dyDescent="0.25">
      <c r="A10" s="12" t="s">
        <v>28</v>
      </c>
      <c r="B10" s="11">
        <v>3</v>
      </c>
      <c r="C10" s="11">
        <v>5</v>
      </c>
      <c r="D10" s="11">
        <v>9</v>
      </c>
      <c r="E10" s="11">
        <v>0</v>
      </c>
      <c r="F10" s="11">
        <v>0</v>
      </c>
      <c r="G10" s="11">
        <v>1</v>
      </c>
      <c r="H10" s="11">
        <v>6</v>
      </c>
      <c r="I10" s="11">
        <v>0</v>
      </c>
      <c r="J10" s="11">
        <v>24</v>
      </c>
    </row>
    <row r="11" spans="1:10" x14ac:dyDescent="0.25">
      <c r="A11" s="10" t="s">
        <v>21</v>
      </c>
      <c r="B11" s="11">
        <v>32</v>
      </c>
      <c r="C11" s="11">
        <v>0</v>
      </c>
      <c r="D11" s="11">
        <v>0</v>
      </c>
      <c r="E11" s="11">
        <v>13</v>
      </c>
      <c r="F11" s="11">
        <v>2</v>
      </c>
      <c r="G11" s="11">
        <v>4</v>
      </c>
      <c r="H11" s="11">
        <v>47</v>
      </c>
      <c r="I11" s="11">
        <v>1</v>
      </c>
      <c r="J11" s="11">
        <v>99</v>
      </c>
    </row>
    <row r="12" spans="1:10" x14ac:dyDescent="0.25">
      <c r="A12" s="12" t="s">
        <v>22</v>
      </c>
      <c r="B12" s="11">
        <v>17</v>
      </c>
      <c r="C12" s="11">
        <v>0</v>
      </c>
      <c r="D12" s="11">
        <v>0</v>
      </c>
      <c r="E12" s="11">
        <v>8</v>
      </c>
      <c r="F12" s="11">
        <v>2</v>
      </c>
      <c r="G12" s="11">
        <v>1</v>
      </c>
      <c r="H12" s="11">
        <v>27</v>
      </c>
      <c r="I12" s="11">
        <v>0</v>
      </c>
      <c r="J12" s="11">
        <v>55</v>
      </c>
    </row>
    <row r="13" spans="1:10" x14ac:dyDescent="0.25">
      <c r="A13" s="12" t="s">
        <v>28</v>
      </c>
      <c r="B13" s="11">
        <v>15</v>
      </c>
      <c r="C13" s="11">
        <v>0</v>
      </c>
      <c r="D13" s="11">
        <v>0</v>
      </c>
      <c r="E13" s="11">
        <v>5</v>
      </c>
      <c r="F13" s="11">
        <v>0</v>
      </c>
      <c r="G13" s="11">
        <v>3</v>
      </c>
      <c r="H13" s="11">
        <v>20</v>
      </c>
      <c r="I13" s="11">
        <v>1</v>
      </c>
      <c r="J13" s="11">
        <v>44</v>
      </c>
    </row>
    <row r="14" spans="1:10" x14ac:dyDescent="0.25">
      <c r="A14" s="10" t="s">
        <v>159</v>
      </c>
      <c r="B14" s="11">
        <v>63</v>
      </c>
      <c r="C14" s="11">
        <v>11</v>
      </c>
      <c r="D14" s="11">
        <v>20</v>
      </c>
      <c r="E14" s="11">
        <v>13</v>
      </c>
      <c r="F14" s="11">
        <v>2</v>
      </c>
      <c r="G14" s="11">
        <v>14</v>
      </c>
      <c r="H14" s="11">
        <v>63</v>
      </c>
      <c r="I14" s="11">
        <v>1</v>
      </c>
      <c r="J14" s="11">
        <v>187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workbookViewId="0">
      <selection activeCell="S2" sqref="S2"/>
    </sheetView>
  </sheetViews>
  <sheetFormatPr defaultRowHeight="15" x14ac:dyDescent="0.25"/>
  <cols>
    <col min="1" max="1" width="13.28515625" bestFit="1" customWidth="1"/>
    <col min="2" max="2" width="10.7109375" bestFit="1" customWidth="1"/>
    <col min="4" max="4" width="10.140625" bestFit="1" customWidth="1"/>
    <col min="7" max="7" width="19.7109375" style="8" bestFit="1" customWidth="1"/>
    <col min="9" max="9" width="15.42578125" bestFit="1" customWidth="1"/>
    <col min="10" max="10" width="19.85546875" bestFit="1" customWidth="1"/>
    <col min="12" max="12" width="14.85546875" bestFit="1" customWidth="1"/>
    <col min="13" max="13" width="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25">
      <c r="A2" s="3" t="s">
        <v>157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25">
      <c r="A3" s="3" t="s">
        <v>19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28</v>
      </c>
      <c r="I3" t="s">
        <v>29</v>
      </c>
      <c r="J3" t="s">
        <v>30</v>
      </c>
      <c r="K3" t="s">
        <v>25</v>
      </c>
      <c r="L3" t="s">
        <v>26</v>
      </c>
      <c r="M3" s="5" t="s">
        <v>31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 x14ac:dyDescent="0.25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28</v>
      </c>
      <c r="I4" t="s">
        <v>23</v>
      </c>
      <c r="J4" t="s">
        <v>24</v>
      </c>
      <c r="K4" t="s">
        <v>25</v>
      </c>
      <c r="L4" t="s">
        <v>26</v>
      </c>
      <c r="M4" s="5" t="s">
        <v>33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25">
      <c r="A5" s="3" t="s">
        <v>34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35</v>
      </c>
      <c r="H5" t="s">
        <v>22</v>
      </c>
      <c r="I5" t="s">
        <v>36</v>
      </c>
      <c r="J5" t="s">
        <v>37</v>
      </c>
      <c r="K5" t="s">
        <v>25</v>
      </c>
      <c r="L5" t="s">
        <v>26</v>
      </c>
      <c r="M5" s="5" t="s">
        <v>38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25">
      <c r="A6" s="3" t="s">
        <v>39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40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 x14ac:dyDescent="0.25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29</v>
      </c>
      <c r="J7" t="s">
        <v>30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25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28</v>
      </c>
      <c r="I8" t="s">
        <v>45</v>
      </c>
      <c r="J8" t="s">
        <v>46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x14ac:dyDescent="0.25">
      <c r="A9" s="3" t="s">
        <v>47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35</v>
      </c>
      <c r="H9" t="s">
        <v>22</v>
      </c>
      <c r="I9" t="s">
        <v>36</v>
      </c>
      <c r="J9" t="s">
        <v>37</v>
      </c>
      <c r="K9" t="s">
        <v>25</v>
      </c>
      <c r="L9" t="s">
        <v>26</v>
      </c>
      <c r="M9" s="5" t="s">
        <v>38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 x14ac:dyDescent="0.25">
      <c r="A10" s="3" t="s">
        <v>48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 x14ac:dyDescent="0.25">
      <c r="A11" s="3" t="s">
        <v>49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28</v>
      </c>
      <c r="I11" t="s">
        <v>50</v>
      </c>
      <c r="J11" t="s">
        <v>51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25">
      <c r="A12" s="3" t="s">
        <v>52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36</v>
      </c>
      <c r="J12" t="s">
        <v>53</v>
      </c>
      <c r="K12" t="s">
        <v>25</v>
      </c>
      <c r="L12" t="s">
        <v>26</v>
      </c>
      <c r="M12" s="5" t="s">
        <v>54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 x14ac:dyDescent="0.25">
      <c r="A13" s="3" t="s">
        <v>55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 x14ac:dyDescent="0.25">
      <c r="A14" s="3" t="s">
        <v>56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28</v>
      </c>
      <c r="I14" t="s">
        <v>29</v>
      </c>
      <c r="J14" t="s">
        <v>30</v>
      </c>
      <c r="K14" t="s">
        <v>25</v>
      </c>
      <c r="L14" t="s">
        <v>26</v>
      </c>
      <c r="M14" s="5" t="s">
        <v>33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 x14ac:dyDescent="0.25">
      <c r="A15" s="3" t="s">
        <v>57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35</v>
      </c>
      <c r="H15" t="s">
        <v>28</v>
      </c>
      <c r="I15" t="s">
        <v>58</v>
      </c>
      <c r="J15" t="s">
        <v>59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 x14ac:dyDescent="0.25">
      <c r="A16" s="3" t="s">
        <v>60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28</v>
      </c>
      <c r="I16" t="s">
        <v>36</v>
      </c>
      <c r="J16" t="s">
        <v>37</v>
      </c>
      <c r="K16" t="s">
        <v>25</v>
      </c>
      <c r="L16" t="s">
        <v>26</v>
      </c>
      <c r="M16" s="5" t="s">
        <v>61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25">
      <c r="A17" s="3" t="s">
        <v>62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28</v>
      </c>
      <c r="I17" t="s">
        <v>29</v>
      </c>
      <c r="J17" t="s">
        <v>30</v>
      </c>
      <c r="K17" t="s">
        <v>25</v>
      </c>
      <c r="L17" t="s">
        <v>26</v>
      </c>
      <c r="M17" s="5" t="s">
        <v>54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 x14ac:dyDescent="0.25">
      <c r="A18" s="3" t="s">
        <v>63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35</v>
      </c>
      <c r="H18" t="s">
        <v>28</v>
      </c>
      <c r="I18" t="s">
        <v>23</v>
      </c>
      <c r="J18" t="s">
        <v>24</v>
      </c>
      <c r="K18" t="s">
        <v>25</v>
      </c>
      <c r="L18" t="s">
        <v>26</v>
      </c>
      <c r="M18" s="5" t="s">
        <v>64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 x14ac:dyDescent="0.25">
      <c r="A19" s="3" t="s">
        <v>65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28</v>
      </c>
      <c r="I19" t="s">
        <v>23</v>
      </c>
      <c r="J19" t="s">
        <v>24</v>
      </c>
      <c r="K19" t="s">
        <v>25</v>
      </c>
      <c r="L19" t="s">
        <v>26</v>
      </c>
      <c r="M19" s="5" t="s">
        <v>31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 x14ac:dyDescent="0.25">
      <c r="A20" s="3" t="s">
        <v>66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36</v>
      </c>
      <c r="J20" t="s">
        <v>37</v>
      </c>
      <c r="K20" t="s">
        <v>25</v>
      </c>
      <c r="L20" t="s">
        <v>26</v>
      </c>
      <c r="M20" s="5" t="s">
        <v>67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 x14ac:dyDescent="0.25">
      <c r="A21" s="3" t="s">
        <v>68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35</v>
      </c>
      <c r="H21" t="s">
        <v>22</v>
      </c>
      <c r="I21" t="s">
        <v>58</v>
      </c>
      <c r="J21" t="s">
        <v>59</v>
      </c>
      <c r="K21" t="s">
        <v>25</v>
      </c>
      <c r="L21" t="s">
        <v>26</v>
      </c>
      <c r="M21" s="5" t="s">
        <v>54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 x14ac:dyDescent="0.25">
      <c r="A22" s="3" t="s">
        <v>69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70</v>
      </c>
      <c r="K22" t="s">
        <v>25</v>
      </c>
      <c r="L22" t="s">
        <v>26</v>
      </c>
      <c r="M22" s="5" t="s">
        <v>72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 x14ac:dyDescent="0.25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72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 x14ac:dyDescent="0.25">
      <c r="A24" s="3" t="s">
        <v>73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35</v>
      </c>
      <c r="H24" t="s">
        <v>22</v>
      </c>
      <c r="I24" t="s">
        <v>36</v>
      </c>
      <c r="J24" t="s">
        <v>74</v>
      </c>
      <c r="K24" t="s">
        <v>25</v>
      </c>
      <c r="L24" t="s">
        <v>26</v>
      </c>
      <c r="M24" s="5" t="s">
        <v>75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 x14ac:dyDescent="0.25">
      <c r="A25" s="3" t="s">
        <v>76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50</v>
      </c>
      <c r="J25" t="s">
        <v>77</v>
      </c>
      <c r="K25" t="s">
        <v>25</v>
      </c>
      <c r="L25" t="s">
        <v>26</v>
      </c>
      <c r="M25" s="5" t="s">
        <v>31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 x14ac:dyDescent="0.25">
      <c r="A26" s="3" t="s">
        <v>78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35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61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 x14ac:dyDescent="0.25">
      <c r="A27" s="3" t="s">
        <v>79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28</v>
      </c>
      <c r="I27" t="s">
        <v>36</v>
      </c>
      <c r="J27" t="s">
        <v>37</v>
      </c>
      <c r="K27" t="s">
        <v>25</v>
      </c>
      <c r="L27" t="s">
        <v>26</v>
      </c>
      <c r="M27" s="5" t="s">
        <v>61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25">
      <c r="A28" s="3" t="s">
        <v>80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35</v>
      </c>
      <c r="H28" t="s">
        <v>28</v>
      </c>
      <c r="I28" t="s">
        <v>29</v>
      </c>
      <c r="J28" t="s">
        <v>30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 x14ac:dyDescent="0.25">
      <c r="A29" s="3" t="s">
        <v>81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35</v>
      </c>
      <c r="H29" t="s">
        <v>28</v>
      </c>
      <c r="I29" t="s">
        <v>23</v>
      </c>
      <c r="J29" t="s">
        <v>24</v>
      </c>
      <c r="K29" t="s">
        <v>25</v>
      </c>
      <c r="L29" t="s">
        <v>26</v>
      </c>
      <c r="M29" s="5" t="s">
        <v>82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 x14ac:dyDescent="0.25">
      <c r="A30" s="3" t="s">
        <v>83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35</v>
      </c>
      <c r="H30" t="s">
        <v>22</v>
      </c>
      <c r="I30" t="s">
        <v>23</v>
      </c>
      <c r="J30" t="s">
        <v>46</v>
      </c>
      <c r="K30" t="s">
        <v>25</v>
      </c>
      <c r="L30" t="s">
        <v>26</v>
      </c>
      <c r="M30" s="5" t="s">
        <v>84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 x14ac:dyDescent="0.25">
      <c r="A31" s="3" t="s">
        <v>85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28</v>
      </c>
      <c r="I31" t="s">
        <v>36</v>
      </c>
      <c r="J31" t="s">
        <v>37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 x14ac:dyDescent="0.25">
      <c r="A32" s="3" t="s">
        <v>86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87</v>
      </c>
      <c r="J32" t="s">
        <v>88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 x14ac:dyDescent="0.25">
      <c r="A33" s="3" t="s">
        <v>89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36</v>
      </c>
      <c r="J33" t="s">
        <v>37</v>
      </c>
      <c r="K33" t="s">
        <v>25</v>
      </c>
      <c r="L33" t="s">
        <v>26</v>
      </c>
      <c r="M33" s="5" t="s">
        <v>64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 x14ac:dyDescent="0.25">
      <c r="A34" s="3" t="s">
        <v>90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35</v>
      </c>
      <c r="H34" t="s">
        <v>28</v>
      </c>
      <c r="I34" t="s">
        <v>58</v>
      </c>
      <c r="J34" t="s">
        <v>59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 x14ac:dyDescent="0.25">
      <c r="A35" s="3" t="s">
        <v>91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28</v>
      </c>
      <c r="I35" t="s">
        <v>23</v>
      </c>
      <c r="J35" t="s">
        <v>24</v>
      </c>
      <c r="K35" t="s">
        <v>25</v>
      </c>
      <c r="L35" t="s">
        <v>26</v>
      </c>
      <c r="M35" s="5" t="s">
        <v>33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 x14ac:dyDescent="0.25">
      <c r="A36" s="3" t="s">
        <v>92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54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 x14ac:dyDescent="0.25">
      <c r="A37" s="3" t="s">
        <v>93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36</v>
      </c>
      <c r="J37" t="s">
        <v>37</v>
      </c>
      <c r="K37" t="s">
        <v>25</v>
      </c>
      <c r="L37" t="s">
        <v>26</v>
      </c>
      <c r="M37" s="5" t="s">
        <v>31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 x14ac:dyDescent="0.25">
      <c r="A38" s="3" t="s">
        <v>94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28</v>
      </c>
      <c r="I38" t="s">
        <v>23</v>
      </c>
      <c r="J38" t="s">
        <v>24</v>
      </c>
      <c r="K38" t="s">
        <v>25</v>
      </c>
      <c r="L38" t="s">
        <v>26</v>
      </c>
      <c r="M38" s="5" t="s">
        <v>33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 x14ac:dyDescent="0.25">
      <c r="A39" s="3" t="s">
        <v>95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35</v>
      </c>
      <c r="H39" t="s">
        <v>28</v>
      </c>
      <c r="I39" t="s">
        <v>36</v>
      </c>
      <c r="J39" t="s">
        <v>37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 x14ac:dyDescent="0.25">
      <c r="A40" s="3" t="s">
        <v>96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36</v>
      </c>
      <c r="J40" t="s">
        <v>74</v>
      </c>
      <c r="K40" t="s">
        <v>25</v>
      </c>
      <c r="L40" t="s">
        <v>26</v>
      </c>
      <c r="M40" s="5" t="s">
        <v>31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 x14ac:dyDescent="0.25">
      <c r="A41" s="3" t="s">
        <v>97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46</v>
      </c>
      <c r="K41" t="s">
        <v>25</v>
      </c>
      <c r="L41" t="s">
        <v>26</v>
      </c>
      <c r="M41" s="5" t="s">
        <v>31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25">
      <c r="A42" s="3" t="s">
        <v>98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35</v>
      </c>
      <c r="H42" t="s">
        <v>22</v>
      </c>
      <c r="I42" t="s">
        <v>36</v>
      </c>
      <c r="J42" t="s">
        <v>53</v>
      </c>
      <c r="K42" t="s">
        <v>25</v>
      </c>
      <c r="L42" t="s">
        <v>26</v>
      </c>
      <c r="M42" s="5" t="s">
        <v>31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 x14ac:dyDescent="0.25">
      <c r="A43" s="3" t="s">
        <v>99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100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 x14ac:dyDescent="0.25">
      <c r="A44" s="3" t="s">
        <v>101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29</v>
      </c>
      <c r="J44" t="s">
        <v>30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 x14ac:dyDescent="0.25">
      <c r="A45" s="3" t="s">
        <v>102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28</v>
      </c>
      <c r="I45" t="s">
        <v>29</v>
      </c>
      <c r="J45" t="s">
        <v>30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25">
      <c r="A46" s="3" t="s">
        <v>103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35</v>
      </c>
      <c r="H46" t="s">
        <v>22</v>
      </c>
      <c r="I46" t="s">
        <v>23</v>
      </c>
      <c r="J46" t="s">
        <v>46</v>
      </c>
      <c r="K46" t="s">
        <v>25</v>
      </c>
      <c r="L46" t="s">
        <v>26</v>
      </c>
      <c r="M46" s="5" t="s">
        <v>54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 x14ac:dyDescent="0.25">
      <c r="A47" s="3" t="s">
        <v>104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35</v>
      </c>
      <c r="H47" t="s">
        <v>28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 x14ac:dyDescent="0.25">
      <c r="A48" s="3" t="s">
        <v>105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35</v>
      </c>
      <c r="H48" t="s">
        <v>22</v>
      </c>
      <c r="I48" t="s">
        <v>36</v>
      </c>
      <c r="J48" t="s">
        <v>74</v>
      </c>
      <c r="K48" t="s">
        <v>25</v>
      </c>
      <c r="L48" t="s">
        <v>26</v>
      </c>
      <c r="M48" s="5" t="s">
        <v>33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 x14ac:dyDescent="0.25">
      <c r="A49" s="3" t="s">
        <v>106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35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31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 x14ac:dyDescent="0.25">
      <c r="A50" s="3" t="s">
        <v>107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35</v>
      </c>
      <c r="H50" t="s">
        <v>22</v>
      </c>
      <c r="I50" t="s">
        <v>36</v>
      </c>
      <c r="J50" t="s">
        <v>37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 x14ac:dyDescent="0.25">
      <c r="A51" s="3" t="s">
        <v>108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28</v>
      </c>
      <c r="I51" t="s">
        <v>36</v>
      </c>
      <c r="J51" t="s">
        <v>37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25">
      <c r="A52" s="3" t="s">
        <v>109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35</v>
      </c>
      <c r="H52" t="s">
        <v>22</v>
      </c>
      <c r="I52" t="s">
        <v>87</v>
      </c>
      <c r="J52" t="s">
        <v>110</v>
      </c>
      <c r="K52" t="s">
        <v>25</v>
      </c>
      <c r="L52" t="s">
        <v>26</v>
      </c>
      <c r="M52" s="5" t="s">
        <v>111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 x14ac:dyDescent="0.25">
      <c r="A53" s="3" t="s">
        <v>112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46</v>
      </c>
      <c r="K53" t="s">
        <v>25</v>
      </c>
      <c r="L53" t="s">
        <v>26</v>
      </c>
      <c r="M53" s="5" t="s">
        <v>54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 x14ac:dyDescent="0.25">
      <c r="A54" s="3" t="s">
        <v>113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35</v>
      </c>
      <c r="H54" t="s">
        <v>28</v>
      </c>
      <c r="I54" t="s">
        <v>36</v>
      </c>
      <c r="J54" t="s">
        <v>37</v>
      </c>
      <c r="K54" t="s">
        <v>25</v>
      </c>
      <c r="L54" t="s">
        <v>26</v>
      </c>
      <c r="M54" s="5" t="s">
        <v>38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 x14ac:dyDescent="0.25">
      <c r="A55" s="3" t="s">
        <v>114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50</v>
      </c>
      <c r="J55" t="s">
        <v>51</v>
      </c>
      <c r="K55" t="s">
        <v>25</v>
      </c>
      <c r="L55" t="s">
        <v>26</v>
      </c>
      <c r="M55" s="5" t="s">
        <v>111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 x14ac:dyDescent="0.25">
      <c r="A56" s="3" t="s">
        <v>115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36</v>
      </c>
      <c r="J56" t="s">
        <v>37</v>
      </c>
      <c r="K56" t="s">
        <v>25</v>
      </c>
      <c r="L56" t="s">
        <v>26</v>
      </c>
      <c r="M56" s="5" t="s">
        <v>67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 x14ac:dyDescent="0.25">
      <c r="A57" s="3" t="s">
        <v>116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50</v>
      </c>
      <c r="J57" t="s">
        <v>51</v>
      </c>
      <c r="K57" t="s">
        <v>25</v>
      </c>
      <c r="L57" t="s">
        <v>26</v>
      </c>
      <c r="M57" s="5" t="s">
        <v>111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 x14ac:dyDescent="0.25">
      <c r="A58" s="3" t="s">
        <v>117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87</v>
      </c>
      <c r="J58" t="s">
        <v>118</v>
      </c>
      <c r="K58" t="s">
        <v>25</v>
      </c>
      <c r="L58" t="s">
        <v>26</v>
      </c>
      <c r="M58" s="5" t="s">
        <v>54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 x14ac:dyDescent="0.25">
      <c r="A59" s="3" t="s">
        <v>119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35</v>
      </c>
      <c r="H59" t="s">
        <v>22</v>
      </c>
      <c r="I59" t="s">
        <v>29</v>
      </c>
      <c r="J59" t="s">
        <v>30</v>
      </c>
      <c r="K59" t="s">
        <v>25</v>
      </c>
      <c r="L59" t="s">
        <v>26</v>
      </c>
      <c r="M59" s="5" t="s">
        <v>38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 x14ac:dyDescent="0.25">
      <c r="A60" s="3" t="s">
        <v>120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28</v>
      </c>
      <c r="I60" t="s">
        <v>23</v>
      </c>
      <c r="J60" t="s">
        <v>24</v>
      </c>
      <c r="K60" t="s">
        <v>25</v>
      </c>
      <c r="L60" t="s">
        <v>26</v>
      </c>
      <c r="M60" s="5" t="s">
        <v>61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 x14ac:dyDescent="0.25">
      <c r="A61" s="3" t="s">
        <v>121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35</v>
      </c>
      <c r="H61" t="s">
        <v>28</v>
      </c>
      <c r="I61" t="s">
        <v>87</v>
      </c>
      <c r="J61" t="s">
        <v>88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 x14ac:dyDescent="0.25">
      <c r="A62" s="3" t="s">
        <v>122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28</v>
      </c>
      <c r="I62" t="s">
        <v>23</v>
      </c>
      <c r="J62" t="s">
        <v>46</v>
      </c>
      <c r="K62" t="s">
        <v>25</v>
      </c>
      <c r="L62" t="s">
        <v>26</v>
      </c>
      <c r="M62" s="5" t="s">
        <v>54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 x14ac:dyDescent="0.25">
      <c r="A63" s="3" t="s">
        <v>123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28</v>
      </c>
      <c r="I63" t="s">
        <v>87</v>
      </c>
      <c r="J63" t="s">
        <v>124</v>
      </c>
      <c r="K63" t="s">
        <v>25</v>
      </c>
      <c r="L63" t="s">
        <v>26</v>
      </c>
      <c r="M63" s="5" t="s">
        <v>111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 x14ac:dyDescent="0.25">
      <c r="A64" s="3" t="s">
        <v>125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36</v>
      </c>
      <c r="J64" t="s">
        <v>74</v>
      </c>
      <c r="K64" t="s">
        <v>25</v>
      </c>
      <c r="L64" t="s">
        <v>26</v>
      </c>
      <c r="M64" s="5" t="s">
        <v>126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 x14ac:dyDescent="0.25">
      <c r="A65" s="3" t="s">
        <v>127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35</v>
      </c>
      <c r="H65" t="s">
        <v>28</v>
      </c>
      <c r="I65" t="s">
        <v>87</v>
      </c>
      <c r="J65" t="s">
        <v>88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 x14ac:dyDescent="0.25">
      <c r="A66" s="3" t="s">
        <v>128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70</v>
      </c>
      <c r="K66" t="s">
        <v>25</v>
      </c>
      <c r="L66" t="s">
        <v>26</v>
      </c>
      <c r="M66" s="5" t="s">
        <v>129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 x14ac:dyDescent="0.25">
      <c r="A67" s="3" t="s">
        <v>130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28</v>
      </c>
      <c r="I67" t="s">
        <v>23</v>
      </c>
      <c r="J67" t="s">
        <v>70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 x14ac:dyDescent="0.25">
      <c r="A68" s="3" t="s">
        <v>131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 x14ac:dyDescent="0.25">
      <c r="A69" s="3" t="s">
        <v>132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36</v>
      </c>
      <c r="J69" t="s">
        <v>53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 x14ac:dyDescent="0.25">
      <c r="A70" s="3" t="s">
        <v>133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28</v>
      </c>
      <c r="I70" t="s">
        <v>36</v>
      </c>
      <c r="J70" t="s">
        <v>134</v>
      </c>
      <c r="K70" t="s">
        <v>25</v>
      </c>
      <c r="L70" t="s">
        <v>26</v>
      </c>
      <c r="M70" s="5" t="s">
        <v>82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 x14ac:dyDescent="0.25">
      <c r="A71" s="3" t="s">
        <v>135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50</v>
      </c>
      <c r="J71" t="s">
        <v>136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 x14ac:dyDescent="0.25">
      <c r="A72" s="3" t="s">
        <v>137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46</v>
      </c>
      <c r="K72" t="s">
        <v>25</v>
      </c>
      <c r="L72" t="s">
        <v>26</v>
      </c>
      <c r="M72" s="5" t="s">
        <v>54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 x14ac:dyDescent="0.25">
      <c r="A73" s="3" t="s">
        <v>138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35</v>
      </c>
      <c r="H73" t="s">
        <v>22</v>
      </c>
      <c r="I73" t="s">
        <v>36</v>
      </c>
      <c r="J73" t="s">
        <v>74</v>
      </c>
      <c r="K73" t="s">
        <v>25</v>
      </c>
      <c r="L73" t="s">
        <v>26</v>
      </c>
      <c r="M73" s="5" t="s">
        <v>75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 x14ac:dyDescent="0.25">
      <c r="A74" s="3" t="s">
        <v>139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28</v>
      </c>
      <c r="I74" t="s">
        <v>36</v>
      </c>
      <c r="J74" t="s">
        <v>53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 x14ac:dyDescent="0.25">
      <c r="A75" s="3" t="s">
        <v>140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35</v>
      </c>
      <c r="H75" t="s">
        <v>28</v>
      </c>
      <c r="I75" t="s">
        <v>58</v>
      </c>
      <c r="J75" t="s">
        <v>59</v>
      </c>
      <c r="K75" t="s">
        <v>25</v>
      </c>
      <c r="L75" t="s">
        <v>26</v>
      </c>
      <c r="M75" s="5" t="s">
        <v>141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 x14ac:dyDescent="0.25">
      <c r="A76" s="3" t="s">
        <v>142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36</v>
      </c>
      <c r="J76" t="s">
        <v>53</v>
      </c>
      <c r="K76" t="s">
        <v>25</v>
      </c>
      <c r="L76" t="s">
        <v>26</v>
      </c>
      <c r="M76" s="5" t="s">
        <v>54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 x14ac:dyDescent="0.25">
      <c r="A77" s="3" t="s">
        <v>143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28</v>
      </c>
      <c r="I77" t="s">
        <v>36</v>
      </c>
      <c r="J77" t="s">
        <v>74</v>
      </c>
      <c r="K77" t="s">
        <v>25</v>
      </c>
      <c r="L77" t="s">
        <v>26</v>
      </c>
      <c r="M77" s="5" t="s">
        <v>54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 x14ac:dyDescent="0.25">
      <c r="A78" s="3" t="s">
        <v>144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35</v>
      </c>
      <c r="H78" t="s">
        <v>28</v>
      </c>
      <c r="I78" t="s">
        <v>87</v>
      </c>
      <c r="J78" t="s">
        <v>145</v>
      </c>
      <c r="K78" t="s">
        <v>25</v>
      </c>
      <c r="L78" t="s">
        <v>26</v>
      </c>
      <c r="M78" s="5" t="s">
        <v>54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 x14ac:dyDescent="0.25">
      <c r="A79" s="3" t="s">
        <v>146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28</v>
      </c>
      <c r="I79" t="s">
        <v>29</v>
      </c>
      <c r="J79" t="s">
        <v>30</v>
      </c>
      <c r="K79" t="s">
        <v>25</v>
      </c>
      <c r="L79" t="s">
        <v>26</v>
      </c>
      <c r="M79" s="5" t="s">
        <v>33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 x14ac:dyDescent="0.25">
      <c r="A80" s="3" t="s">
        <v>147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35</v>
      </c>
      <c r="H80" t="s">
        <v>22</v>
      </c>
      <c r="I80" t="s">
        <v>23</v>
      </c>
      <c r="J80" t="s">
        <v>46</v>
      </c>
      <c r="K80" t="s">
        <v>25</v>
      </c>
      <c r="L80" t="s">
        <v>26</v>
      </c>
      <c r="M80" s="5" t="s">
        <v>54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 x14ac:dyDescent="0.25">
      <c r="A81" s="3" t="s">
        <v>148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28</v>
      </c>
      <c r="I81" t="s">
        <v>23</v>
      </c>
      <c r="J81" t="s">
        <v>24</v>
      </c>
      <c r="K81" t="s">
        <v>25</v>
      </c>
      <c r="L81" t="s">
        <v>26</v>
      </c>
      <c r="M81" s="5" t="s">
        <v>61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 x14ac:dyDescent="0.25">
      <c r="A82" s="3" t="s">
        <v>149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36</v>
      </c>
      <c r="J82" t="s">
        <v>37</v>
      </c>
      <c r="K82" t="s">
        <v>25</v>
      </c>
      <c r="L82" t="s">
        <v>26</v>
      </c>
      <c r="M82" s="5" t="s">
        <v>67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 x14ac:dyDescent="0.25">
      <c r="A83" s="3" t="s">
        <v>150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35</v>
      </c>
      <c r="H83" t="s">
        <v>28</v>
      </c>
      <c r="I83" t="s">
        <v>87</v>
      </c>
      <c r="J83" t="s">
        <v>88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 x14ac:dyDescent="0.25">
      <c r="A84" s="3" t="s">
        <v>151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35</v>
      </c>
      <c r="H84" t="s">
        <v>22</v>
      </c>
      <c r="I84" t="s">
        <v>58</v>
      </c>
      <c r="J84" t="s">
        <v>59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 x14ac:dyDescent="0.25">
      <c r="A85" s="3" t="s">
        <v>152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28</v>
      </c>
      <c r="I85" t="s">
        <v>50</v>
      </c>
      <c r="J85" t="s">
        <v>136</v>
      </c>
      <c r="K85" t="s">
        <v>25</v>
      </c>
      <c r="L85" t="s">
        <v>26</v>
      </c>
      <c r="M85" s="5" t="s">
        <v>54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 x14ac:dyDescent="0.25">
      <c r="A86" s="3" t="s">
        <v>153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35</v>
      </c>
      <c r="H86" t="s">
        <v>22</v>
      </c>
      <c r="I86" t="s">
        <v>23</v>
      </c>
      <c r="J86" t="s">
        <v>70</v>
      </c>
      <c r="K86" t="s">
        <v>25</v>
      </c>
      <c r="L86" t="s">
        <v>26</v>
      </c>
      <c r="M86" s="5" t="s">
        <v>31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 x14ac:dyDescent="0.25">
      <c r="A87" s="3" t="s">
        <v>154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35</v>
      </c>
      <c r="H87" t="s">
        <v>22</v>
      </c>
      <c r="I87" t="s">
        <v>58</v>
      </c>
      <c r="J87" t="s">
        <v>59</v>
      </c>
      <c r="K87" t="s">
        <v>25</v>
      </c>
      <c r="L87" t="s">
        <v>26</v>
      </c>
      <c r="M87" s="5" t="s">
        <v>61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 x14ac:dyDescent="0.25">
      <c r="A88" s="3" t="s">
        <v>155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72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 x14ac:dyDescent="0.25">
      <c r="A89" s="3" t="s">
        <v>156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28</v>
      </c>
      <c r="I89" t="s">
        <v>36</v>
      </c>
      <c r="J89" t="s">
        <v>53</v>
      </c>
      <c r="K89" t="s">
        <v>25</v>
      </c>
      <c r="L89" t="s">
        <v>26</v>
      </c>
      <c r="M89" s="5" t="s">
        <v>61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55A197-E6BA-450D-B171-3C9117E06810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customXml/itemProps2.xml><?xml version="1.0" encoding="utf-8"?>
<ds:datastoreItem xmlns:ds="http://schemas.openxmlformats.org/officeDocument/2006/customXml" ds:itemID="{89A0981A-8B6B-4170-BCF8-2DB63DFF61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94796C-5BA7-4D41-83ED-B2ACAD8AF7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Detail1</vt:lpstr>
      <vt:lpstr>Pivot Table</vt:lpstr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admin</cp:lastModifiedBy>
  <cp:revision/>
  <dcterms:created xsi:type="dcterms:W3CDTF">2022-11-04T20:14:11Z</dcterms:created>
  <dcterms:modified xsi:type="dcterms:W3CDTF">2026-03-26T08:32:08Z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